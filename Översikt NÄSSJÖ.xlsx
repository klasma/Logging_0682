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46293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46293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46293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46293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46293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46293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46293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46293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46293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46293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46293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46293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46293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46293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46293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46293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63989-2025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46021</v>
      </c>
      <c r="E24" s="1" t="n">
        <v>46293</v>
      </c>
      <c r="F24" t="inlineStr">
        <is>
          <t>JÖNKÖPINGS LÄN</t>
        </is>
      </c>
      <c r="G24" t="inlineStr">
        <is>
          <t>NÄSSJÖ</t>
        </is>
      </c>
      <c r="I24" t="n">
        <v>2.7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Fältgentiana</t>
        </is>
      </c>
      <c r="W24">
        <f>HYPERLINK("https://klasma.github.io/Logging_0682/artfynd/A 63989-2025 artfynd.xlsx", "A 63989-2025")</f>
        <v/>
      </c>
      <c r="X24">
        <f>HYPERLINK("https://klasma.github.io/Logging_0682/kartor/A 63989-2025 karta.png", "A 63989-2025")</f>
        <v/>
      </c>
      <c r="Y24">
        <f>HYPERLINK("https://klasma.github.io/Logging_0682/kartor_geotiff/A 63989-2025 georefererad karta.tif", "A 63989-2025")</f>
        <v/>
      </c>
      <c r="AA24">
        <f>HYPERLINK("https://klasma.github.io/Logging_0682/klagomål/A 63989-2025 FSC-klagomål.docx", "A 63989-2025")</f>
        <v/>
      </c>
      <c r="AB24">
        <f>HYPERLINK("https://klasma.github.io/Logging_0682/klagomålsmail/A 63989-2025 FSC-klagomål mail.docx", "A 63989-2025")</f>
        <v/>
      </c>
      <c r="AC24">
        <f>HYPERLINK("https://klasma.github.io/Logging_0682/tillsyn/A 63989-2025 tillsynsbegäran.docx", "A 63989-2025")</f>
        <v/>
      </c>
      <c r="AD24">
        <f>HYPERLINK("https://klasma.github.io/Logging_0682/tillsynsmail/A 63989-2025 tillsynsbegäran mail.docx", "A 63989-2025")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46293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254-2023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46293</v>
      </c>
      <c r="F26" t="inlineStr">
        <is>
          <t>JÖNKÖPINGS LÄN</t>
        </is>
      </c>
      <c r="G26" t="inlineStr">
        <is>
          <t>NÄSSJÖ</t>
        </is>
      </c>
      <c r="I26" t="n">
        <v>7.7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Gulsparv</t>
        </is>
      </c>
      <c r="W26">
        <f>HYPERLINK("https://klasma.github.io/Logging_0682/artfynd/A 254-2023 artfynd.xlsx", "A 254-2023")</f>
        <v/>
      </c>
      <c r="X26">
        <f>HYPERLINK("https://klasma.github.io/Logging_0682/kartor/A 254-2023 karta.png", "A 254-2023")</f>
        <v/>
      </c>
      <c r="Y26">
        <f>HYPERLINK("https://klasma.github.io/Logging_0682/kartor_geotiff/A 254-2023 georefererad karta.tif", "A 254-2023")</f>
        <v/>
      </c>
      <c r="AA26">
        <f>HYPERLINK("https://klasma.github.io/Logging_0682/klagomål/A 254-2023 FSC-klagomål.docx", "A 254-2023")</f>
        <v/>
      </c>
      <c r="AB26">
        <f>HYPERLINK("https://klasma.github.io/Logging_0682/klagomålsmail/A 254-2023 FSC-klagomål mail.docx", "A 254-2023")</f>
        <v/>
      </c>
      <c r="AC26">
        <f>HYPERLINK("https://klasma.github.io/Logging_0682/tillsyn/A 254-2023 tillsynsbegäran.docx", "A 254-2023")</f>
        <v/>
      </c>
      <c r="AD26">
        <f>HYPERLINK("https://klasma.github.io/Logging_0682/tillsynsmail/A 254-2023 tillsynsbegäran mail.docx", "A 254-2023")</f>
        <v/>
      </c>
      <c r="AE26">
        <f>HYPERLINK("https://klasma.github.io/Logging_0682/fåglar/A 254-2023 prioriterade fågelarter.docx", "A 254-2023")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46293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5108-2026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46293</v>
      </c>
      <c r="F28" t="inlineStr">
        <is>
          <t>JÖNKÖPINGS LÄN</t>
        </is>
      </c>
      <c r="G28" t="inlineStr">
        <is>
          <t>NÄSSJÖ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HYPERLINK("https://klasma.github.io/Logging_0682/artfynd/A 5108-2026 artfynd.xlsx", "A 5108-2026")</f>
        <v/>
      </c>
      <c r="X28">
        <f>HYPERLINK("https://klasma.github.io/Logging_0682/kartor/A 5108-2026 karta.png", "A 5108-2026")</f>
        <v/>
      </c>
      <c r="Y28">
        <f>HYPERLINK("https://klasma.github.io/Logging_0682/kartor_geotiff/A 5108-2026 georefererad karta.tif", "A 5108-2026")</f>
        <v/>
      </c>
      <c r="AA28">
        <f>HYPERLINK("https://klasma.github.io/Logging_0682/klagomål/A 5108-2026 FSC-klagomål.docx", "A 5108-2026")</f>
        <v/>
      </c>
      <c r="AB28">
        <f>HYPERLINK("https://klasma.github.io/Logging_0682/klagomålsmail/A 5108-2026 FSC-klagomål mail.docx", "A 5108-2026")</f>
        <v/>
      </c>
      <c r="AC28">
        <f>HYPERLINK("https://klasma.github.io/Logging_0682/tillsyn/A 5108-2026 tillsynsbegäran.docx", "A 5108-2026")</f>
        <v/>
      </c>
      <c r="AD28">
        <f>HYPERLINK("https://klasma.github.io/Logging_0682/tillsynsmail/A 5108-2026 tillsynsbegäran mail.docx", "A 5108-2026")</f>
        <v/>
      </c>
    </row>
    <row r="29" ht="15" customHeight="1">
      <c r="A29" t="inlineStr">
        <is>
          <t>A 46451-2022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44848</v>
      </c>
      <c r="E29" s="1" t="n">
        <v>46293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Sälg</t>
        </is>
      </c>
      <c r="W29">
        <f>HYPERLINK("https://klasma.github.io/Logging_0682/artfynd/A 46451-2022 artfynd.xlsx", "A 46451-2022")</f>
        <v/>
      </c>
      <c r="X29">
        <f>HYPERLINK("https://klasma.github.io/Logging_0682/kartor/A 46451-2022 karta.png", "A 46451-2022")</f>
        <v/>
      </c>
      <c r="Y29">
        <f>HYPERLINK("https://klasma.github.io/Logging_0682/kartor_geotiff/A 46451-2022 georefererad karta.tif", "A 46451-2022")</f>
        <v/>
      </c>
      <c r="AA29">
        <f>HYPERLINK("https://klasma.github.io/Logging_0682/klagomål/A 46451-2022 FSC-klagomål.docx", "A 46451-2022")</f>
        <v/>
      </c>
      <c r="AB29">
        <f>HYPERLINK("https://klasma.github.io/Logging_0682/klagomålsmail/A 46451-2022 FSC-klagomål mail.docx", "A 46451-2022")</f>
        <v/>
      </c>
      <c r="AC29">
        <f>HYPERLINK("https://klasma.github.io/Logging_0682/tillsyn/A 46451-2022 tillsynsbegäran.docx", "A 46451-2022")</f>
        <v/>
      </c>
      <c r="AD29">
        <f>HYPERLINK("https://klasma.github.io/Logging_0682/tillsynsmail/A 46451-2022 tillsynsbegäran mail.docx", "A 46451-2022")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46293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15048-2026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46293</v>
      </c>
      <c r="F31" t="inlineStr">
        <is>
          <t>JÖNKÖPINGS LÄN</t>
        </is>
      </c>
      <c r="G31" t="inlineStr">
        <is>
          <t>NÄSSJÖ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15048-2026 artfynd.xlsx", "A 15048-2026")</f>
        <v/>
      </c>
      <c r="X31">
        <f>HYPERLINK("https://klasma.github.io/Logging_0682/kartor/A 15048-2026 karta.png", "A 15048-2026")</f>
        <v/>
      </c>
      <c r="Y31">
        <f>HYPERLINK("https://klasma.github.io/Logging_0682/kartor_geotiff/A 15048-2026 georefererad karta.tif", "A 15048-2026")</f>
        <v/>
      </c>
      <c r="AA31">
        <f>HYPERLINK("https://klasma.github.io/Logging_0682/klagomål/A 15048-2026 FSC-klagomål.docx", "A 15048-2026")</f>
        <v/>
      </c>
      <c r="AB31">
        <f>HYPERLINK("https://klasma.github.io/Logging_0682/klagomålsmail/A 15048-2026 FSC-klagomål mail.docx", "A 15048-2026")</f>
        <v/>
      </c>
      <c r="AC31">
        <f>HYPERLINK("https://klasma.github.io/Logging_0682/tillsyn/A 15048-2026 tillsynsbegäran.docx", "A 15048-2026")</f>
        <v/>
      </c>
      <c r="AD31">
        <f>HYPERLINK("https://klasma.github.io/Logging_0682/tillsynsmail/A 15048-2026 tillsynsbegäran mail.docx", "A 15048-2026")</f>
        <v/>
      </c>
    </row>
    <row r="32" ht="15" customHeight="1">
      <c r="A32" t="inlineStr">
        <is>
          <t>A 15845-2026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46107</v>
      </c>
      <c r="E32" s="1" t="n">
        <v>46293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HYPERLINK("https://klasma.github.io/Logging_0682/artfynd/A 15845-2026 artfynd.xlsx", "A 15845-2026")</f>
        <v/>
      </c>
      <c r="X32">
        <f>HYPERLINK("https://klasma.github.io/Logging_0682/kartor/A 15845-2026 karta.png", "A 15845-2026")</f>
        <v/>
      </c>
      <c r="Y32">
        <f>HYPERLINK("https://klasma.github.io/Logging_0682/kartor_geotiff/A 15845-2026 georefererad karta.tif", "A 15845-2026")</f>
        <v/>
      </c>
      <c r="AA32">
        <f>HYPERLINK("https://klasma.github.io/Logging_0682/klagomål/A 15845-2026 FSC-klagomål.docx", "A 15845-2026")</f>
        <v/>
      </c>
      <c r="AB32">
        <f>HYPERLINK("https://klasma.github.io/Logging_0682/klagomålsmail/A 15845-2026 FSC-klagomål mail.docx", "A 15845-2026")</f>
        <v/>
      </c>
      <c r="AC32">
        <f>HYPERLINK("https://klasma.github.io/Logging_0682/tillsyn/A 15845-2026 tillsynsbegäran.docx", "A 15845-2026")</f>
        <v/>
      </c>
      <c r="AD32">
        <f>HYPERLINK("https://klasma.github.io/Logging_0682/tillsynsmail/A 15845-2026 tillsynsbegäran mail.docx", "A 15845-2026")</f>
        <v/>
      </c>
      <c r="AE32">
        <f>HYPERLINK("https://klasma.github.io/Logging_0682/fåglar/A 15845-2026 prioriterade fågelarter.docx", "A 15845-2026")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46293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46293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41327-2025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45899</v>
      </c>
      <c r="E35" s="1" t="n">
        <v>46293</v>
      </c>
      <c r="F35" t="inlineStr">
        <is>
          <t>JÖNKÖPINGS LÄN</t>
        </is>
      </c>
      <c r="G35" t="inlineStr">
        <is>
          <t>NÄSSJÖ</t>
        </is>
      </c>
      <c r="I35" t="n">
        <v>5.6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41327-2025 artfynd.xlsx", "A 41327-2025")</f>
        <v/>
      </c>
      <c r="X35">
        <f>HYPERLINK("https://klasma.github.io/Logging_0682/kartor/A 41327-2025 karta.png", "A 41327-2025")</f>
        <v/>
      </c>
      <c r="Y35">
        <f>HYPERLINK("https://klasma.github.io/Logging_0682/kartor_geotiff/A 41327-2025 georefererad karta.tif", "A 41327-2025")</f>
        <v/>
      </c>
      <c r="AA35">
        <f>HYPERLINK("https://klasma.github.io/Logging_0682/klagomål/A 41327-2025 FSC-klagomål.docx", "A 41327-2025")</f>
        <v/>
      </c>
      <c r="AB35">
        <f>HYPERLINK("https://klasma.github.io/Logging_0682/klagomålsmail/A 41327-2025 FSC-klagomål mail.docx", "A 41327-2025")</f>
        <v/>
      </c>
      <c r="AC35">
        <f>HYPERLINK("https://klasma.github.io/Logging_0682/tillsyn/A 41327-2025 tillsynsbegäran.docx", "A 41327-2025")</f>
        <v/>
      </c>
      <c r="AD35">
        <f>HYPERLINK("https://klasma.github.io/Logging_0682/tillsynsmail/A 41327-2025 tillsynsbegäran mail.docx", "A 41327-2025")</f>
        <v/>
      </c>
      <c r="AE35">
        <f>HYPERLINK("https://klasma.github.io/Logging_0682/fåglar/A 41327-2025 prioriterade fågelarter.docx", "A 41327-2025")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46293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33372-2025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46293</v>
      </c>
      <c r="F37" t="inlineStr">
        <is>
          <t>JÖNKÖPINGS LÄN</t>
        </is>
      </c>
      <c r="G37" t="inlineStr">
        <is>
          <t>NÄSSJÖ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HYPERLINK("https://klasma.github.io/Logging_0682/artfynd/A 33372-2025 artfynd.xlsx", "A 33372-2025")</f>
        <v/>
      </c>
      <c r="X37">
        <f>HYPERLINK("https://klasma.github.io/Logging_0682/kartor/A 33372-2025 karta.png", "A 33372-2025")</f>
        <v/>
      </c>
      <c r="Y37">
        <f>HYPERLINK("https://klasma.github.io/Logging_0682/kartor_geotiff/A 33372-2025 georefererad karta.tif", "A 33372-2025")</f>
        <v/>
      </c>
      <c r="AA37">
        <f>HYPERLINK("https://klasma.github.io/Logging_0682/klagomål/A 33372-2025 FSC-klagomål.docx", "A 33372-2025")</f>
        <v/>
      </c>
      <c r="AB37">
        <f>HYPERLINK("https://klasma.github.io/Logging_0682/klagomålsmail/A 33372-2025 FSC-klagomål mail.docx", "A 33372-2025")</f>
        <v/>
      </c>
      <c r="AC37">
        <f>HYPERLINK("https://klasma.github.io/Logging_0682/tillsyn/A 33372-2025 tillsynsbegäran.docx", "A 33372-2025")</f>
        <v/>
      </c>
      <c r="AD37">
        <f>HYPERLINK("https://klasma.github.io/Logging_0682/tillsynsmail/A 33372-2025 tillsynsbegäran mail.docx", "A 33372-2025")</f>
        <v/>
      </c>
    </row>
    <row r="38" ht="15" customHeight="1">
      <c r="A38" t="inlineStr">
        <is>
          <t>A 27215-2023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46293</v>
      </c>
      <c r="F38" t="inlineStr">
        <is>
          <t>JÖNKÖPINGS LÄN</t>
        </is>
      </c>
      <c r="G38" t="inlineStr">
        <is>
          <t>NÄSSJÖ</t>
        </is>
      </c>
      <c r="I38" t="n">
        <v>13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HYPERLINK("https://klasma.github.io/Logging_0682/artfynd/A 27215-2023 artfynd.xlsx", "A 27215-2023")</f>
        <v/>
      </c>
      <c r="X38">
        <f>HYPERLINK("https://klasma.github.io/Logging_0682/kartor/A 27215-2023 karta.png", "A 27215-2023")</f>
        <v/>
      </c>
      <c r="Y38">
        <f>HYPERLINK("https://klasma.github.io/Logging_0682/kartor_geotiff/A 27215-2023 georefererad karta.tif", "A 27215-2023")</f>
        <v/>
      </c>
      <c r="AA38">
        <f>HYPERLINK("https://klasma.github.io/Logging_0682/klagomål/A 27215-2023 FSC-klagomål.docx", "A 27215-2023")</f>
        <v/>
      </c>
      <c r="AB38">
        <f>HYPERLINK("https://klasma.github.io/Logging_0682/klagomålsmail/A 27215-2023 FSC-klagomål mail.docx", "A 27215-2023")</f>
        <v/>
      </c>
      <c r="AC38">
        <f>HYPERLINK("https://klasma.github.io/Logging_0682/tillsyn/A 27215-2023 tillsynsbegäran.docx", "A 27215-2023")</f>
        <v/>
      </c>
      <c r="AD38">
        <f>HYPERLINK("https://klasma.github.io/Logging_0682/tillsynsmail/A 27215-2023 tillsynsbegäran mail.docx", "A 27215-2023")</f>
        <v/>
      </c>
      <c r="AE38">
        <f>HYPERLINK("https://klasma.github.io/Logging_0682/fåglar/A 27215-2023 prioriterade fågelarter.docx", "A 27215-2023")</f>
        <v/>
      </c>
    </row>
    <row r="39" ht="15" customHeight="1">
      <c r="A39" t="inlineStr">
        <is>
          <t>A 20607-2026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46140</v>
      </c>
      <c r="E39" s="1" t="n">
        <v>46293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HYPERLINK("https://klasma.github.io/Logging_0682/artfynd/A 20607-2026 artfynd.xlsx", "A 20607-2026")</f>
        <v/>
      </c>
      <c r="X39">
        <f>HYPERLINK("https://klasma.github.io/Logging_0682/kartor/A 20607-2026 karta.png", "A 20607-2026")</f>
        <v/>
      </c>
      <c r="Y39">
        <f>HYPERLINK("https://klasma.github.io/Logging_0682/kartor_geotiff/A 20607-2026 georefererad karta.tif", "A 20607-2026")</f>
        <v/>
      </c>
      <c r="AA39">
        <f>HYPERLINK("https://klasma.github.io/Logging_0682/klagomål/A 20607-2026 FSC-klagomål.docx", "A 20607-2026")</f>
        <v/>
      </c>
      <c r="AB39">
        <f>HYPERLINK("https://klasma.github.io/Logging_0682/klagomålsmail/A 20607-2026 FSC-klagomål mail.docx", "A 20607-2026")</f>
        <v/>
      </c>
      <c r="AC39">
        <f>HYPERLINK("https://klasma.github.io/Logging_0682/tillsyn/A 20607-2026 tillsynsbegäran.docx", "A 20607-2026")</f>
        <v/>
      </c>
      <c r="AD39">
        <f>HYPERLINK("https://klasma.github.io/Logging_0682/tillsynsmail/A 20607-2026 tillsynsbegäran mail.docx", "A 20607-2026")</f>
        <v/>
      </c>
    </row>
    <row r="40" ht="15" customHeight="1">
      <c r="A40" t="inlineStr">
        <is>
          <t>A 3693-2022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46293</v>
      </c>
      <c r="F40" t="inlineStr">
        <is>
          <t>JÖNKÖPINGS LÄN</t>
        </is>
      </c>
      <c r="G40" t="inlineStr">
        <is>
          <t>NÄSSJÖ</t>
        </is>
      </c>
      <c r="I40" t="n">
        <v>2.9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Järnsparv</t>
        </is>
      </c>
      <c r="W40">
        <f>HYPERLINK("https://klasma.github.io/Logging_0682/artfynd/A 3693-2022 artfynd.xlsx", "A 3693-2022")</f>
        <v/>
      </c>
      <c r="X40">
        <f>HYPERLINK("https://klasma.github.io/Logging_0682/kartor/A 3693-2022 karta.png", "A 3693-2022")</f>
        <v/>
      </c>
      <c r="Y40">
        <f>HYPERLINK("https://klasma.github.io/Logging_0682/kartor_geotiff/A 3693-2022 georefererad karta.tif", "A 3693-2022")</f>
        <v/>
      </c>
      <c r="AA40">
        <f>HYPERLINK("https://klasma.github.io/Logging_0682/klagomål/A 3693-2022 FSC-klagomål.docx", "A 3693-2022")</f>
        <v/>
      </c>
      <c r="AB40">
        <f>HYPERLINK("https://klasma.github.io/Logging_0682/klagomålsmail/A 3693-2022 FSC-klagomål mail.docx", "A 3693-2022")</f>
        <v/>
      </c>
      <c r="AC40">
        <f>HYPERLINK("https://klasma.github.io/Logging_0682/tillsyn/A 3693-2022 tillsynsbegäran.docx", "A 3693-2022")</f>
        <v/>
      </c>
      <c r="AD40">
        <f>HYPERLINK("https://klasma.github.io/Logging_0682/tillsynsmail/A 3693-2022 tillsynsbegäran mail.docx", "A 3693-2022")</f>
        <v/>
      </c>
      <c r="AE40">
        <f>HYPERLINK("https://klasma.github.io/Logging_0682/fåglar/A 3693-2022 prioriterade fågelarter.docx", "A 3693-2022")</f>
        <v/>
      </c>
    </row>
    <row r="41" ht="15" customHeight="1">
      <c r="A41" t="inlineStr">
        <is>
          <t>A 33373-2025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46293</v>
      </c>
      <c r="F41" t="inlineStr">
        <is>
          <t>JÖNKÖPINGS LÄN</t>
        </is>
      </c>
      <c r="G41" t="inlineStr">
        <is>
          <t>NÄSSJÖ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Ögonpyrola</t>
        </is>
      </c>
      <c r="W41">
        <f>HYPERLINK("https://klasma.github.io/Logging_0682/artfynd/A 33373-2025 artfynd.xlsx", "A 33373-2025")</f>
        <v/>
      </c>
      <c r="X41">
        <f>HYPERLINK("https://klasma.github.io/Logging_0682/kartor/A 33373-2025 karta.png", "A 33373-2025")</f>
        <v/>
      </c>
      <c r="Y41">
        <f>HYPERLINK("https://klasma.github.io/Logging_0682/kartor_geotiff/A 33373-2025 georefererad karta.tif", "A 33373-2025")</f>
        <v/>
      </c>
      <c r="AA41">
        <f>HYPERLINK("https://klasma.github.io/Logging_0682/klagomål/A 33373-2025 FSC-klagomål.docx", "A 33373-2025")</f>
        <v/>
      </c>
      <c r="AB41">
        <f>HYPERLINK("https://klasma.github.io/Logging_0682/klagomålsmail/A 33373-2025 FSC-klagomål mail.docx", "A 33373-2025")</f>
        <v/>
      </c>
      <c r="AC41">
        <f>HYPERLINK("https://klasma.github.io/Logging_0682/tillsyn/A 33373-2025 tillsynsbegäran.docx", "A 33373-2025")</f>
        <v/>
      </c>
      <c r="AD41">
        <f>HYPERLINK("https://klasma.github.io/Logging_0682/tillsynsmail/A 33373-2025 tillsynsbegäran mail.docx", "A 33373-2025")</f>
        <v/>
      </c>
    </row>
    <row r="42" ht="15" customHeight="1">
      <c r="A42" t="inlineStr">
        <is>
          <t>A 33414-2025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46293</v>
      </c>
      <c r="F42" t="inlineStr">
        <is>
          <t>JÖNKÖPINGS LÄN</t>
        </is>
      </c>
      <c r="G42" t="inlineStr">
        <is>
          <t>NÄSSJÖ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Rhithrogena germanica</t>
        </is>
      </c>
      <c r="W42">
        <f>HYPERLINK("https://klasma.github.io/Logging_0682/artfynd/A 33414-2025 artfynd.xlsx", "A 33414-2025")</f>
        <v/>
      </c>
      <c r="X42">
        <f>HYPERLINK("https://klasma.github.io/Logging_0682/kartor/A 33414-2025 karta.png", "A 33414-2025")</f>
        <v/>
      </c>
      <c r="Y42">
        <f>HYPERLINK("https://klasma.github.io/Logging_0682/kartor_geotiff/A 33414-2025 georefererad karta.tif", "A 33414-2025")</f>
        <v/>
      </c>
      <c r="AA42">
        <f>HYPERLINK("https://klasma.github.io/Logging_0682/klagomål/A 33414-2025 FSC-klagomål.docx", "A 33414-2025")</f>
        <v/>
      </c>
      <c r="AB42">
        <f>HYPERLINK("https://klasma.github.io/Logging_0682/klagomålsmail/A 33414-2025 FSC-klagomål mail.docx", "A 33414-2025")</f>
        <v/>
      </c>
      <c r="AC42">
        <f>HYPERLINK("https://klasma.github.io/Logging_0682/tillsyn/A 33414-2025 tillsynsbegäran.docx", "A 33414-2025")</f>
        <v/>
      </c>
      <c r="AD42">
        <f>HYPERLINK("https://klasma.github.io/Logging_0682/tillsynsmail/A 33414-2025 tillsynsbegäran mail.docx", "A 33414-2025")</f>
        <v/>
      </c>
    </row>
    <row r="43" ht="15" customHeight="1">
      <c r="A43" t="inlineStr">
        <is>
          <t>A 39717-2022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44819</v>
      </c>
      <c r="E43" s="1" t="n">
        <v>46293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Jungfrulin</t>
        </is>
      </c>
      <c r="W43">
        <f>HYPERLINK("https://klasma.github.io/Logging_0682/artfynd/A 39717-2022 artfynd.xlsx", "A 39717-2022")</f>
        <v/>
      </c>
      <c r="X43">
        <f>HYPERLINK("https://klasma.github.io/Logging_0682/kartor/A 39717-2022 karta.png", "A 39717-2022")</f>
        <v/>
      </c>
      <c r="Y43">
        <f>HYPERLINK("https://klasma.github.io/Logging_0682/kartor_geotiff/A 39717-2022 georefererad karta.tif", "A 39717-2022")</f>
        <v/>
      </c>
      <c r="AA43">
        <f>HYPERLINK("https://klasma.github.io/Logging_0682/klagomål/A 39717-2022 FSC-klagomål.docx", "A 39717-2022")</f>
        <v/>
      </c>
      <c r="AB43">
        <f>HYPERLINK("https://klasma.github.io/Logging_0682/klagomålsmail/A 39717-2022 FSC-klagomål mail.docx", "A 39717-2022")</f>
        <v/>
      </c>
      <c r="AC43">
        <f>HYPERLINK("https://klasma.github.io/Logging_0682/tillsyn/A 39717-2022 tillsynsbegäran.docx", "A 39717-2022")</f>
        <v/>
      </c>
      <c r="AD43">
        <f>HYPERLINK("https://klasma.github.io/Logging_0682/tillsynsmail/A 39717-2022 tillsynsbegäran mail.docx", "A 39717-2022")</f>
        <v/>
      </c>
    </row>
    <row r="44" ht="15" customHeight="1">
      <c r="A44" t="inlineStr">
        <is>
          <t>A 34798-2026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46258</v>
      </c>
      <c r="E44" s="1" t="n">
        <v>46293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34798-2026 artfynd.xlsx", "A 34798-2026")</f>
        <v/>
      </c>
      <c r="X44">
        <f>HYPERLINK("https://klasma.github.io/Logging_0682/kartor/A 34798-2026 karta.png", "A 34798-2026")</f>
        <v/>
      </c>
      <c r="Y44">
        <f>HYPERLINK("https://klasma.github.io/Logging_0682/kartor_geotiff/A 34798-2026 georefererad karta.tif", "A 34798-2026")</f>
        <v/>
      </c>
      <c r="AA44">
        <f>HYPERLINK("https://klasma.github.io/Logging_0682/klagomål/A 34798-2026 FSC-klagomål.docx", "A 34798-2026")</f>
        <v/>
      </c>
      <c r="AB44">
        <f>HYPERLINK("https://klasma.github.io/Logging_0682/klagomålsmail/A 34798-2026 FSC-klagomål mail.docx", "A 34798-2026")</f>
        <v/>
      </c>
      <c r="AC44">
        <f>HYPERLINK("https://klasma.github.io/Logging_0682/tillsyn/A 34798-2026 tillsynsbegäran.docx", "A 34798-2026")</f>
        <v/>
      </c>
      <c r="AD44">
        <f>HYPERLINK("https://klasma.github.io/Logging_0682/tillsynsmail/A 34798-2026 tillsynsbegäran mail.docx", "A 34798-2026")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46293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46293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46293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46293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46293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46293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46293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46293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46293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46293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46293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46293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46293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46293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46293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46293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46293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46293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46293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46293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46293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46293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46293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46293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46293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46293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46293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46293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46293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46293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46293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46293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46293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46293</v>
      </c>
      <c r="F78" t="inlineStr">
        <is>
          <t>JÖNKÖPINGS LÄN</t>
        </is>
      </c>
      <c r="G78" t="inlineStr">
        <is>
          <t>NÄSSJÖ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46293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46293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20945-2022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44701</v>
      </c>
      <c r="E81" s="1" t="n">
        <v>46293</v>
      </c>
      <c r="F81" t="inlineStr">
        <is>
          <t>JÖNKÖPINGS LÄN</t>
        </is>
      </c>
      <c r="G81" t="inlineStr">
        <is>
          <t>NÄSSJÖ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46293</v>
      </c>
      <c r="F82" t="inlineStr">
        <is>
          <t>JÖNKÖPINGS LÄN</t>
        </is>
      </c>
      <c r="G82" t="inlineStr">
        <is>
          <t>NÄSSJÖ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46293</v>
      </c>
      <c r="F83" t="inlineStr">
        <is>
          <t>JÖNKÖPINGS LÄN</t>
        </is>
      </c>
      <c r="G83" t="inlineStr">
        <is>
          <t>NÄSSJÖ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23549-2022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44721</v>
      </c>
      <c r="E84" s="1" t="n">
        <v>46293</v>
      </c>
      <c r="F84" t="inlineStr">
        <is>
          <t>JÖNKÖPINGS LÄN</t>
        </is>
      </c>
      <c r="G84" t="inlineStr">
        <is>
          <t>NÄSSJÖ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16314-2022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44670</v>
      </c>
      <c r="E85" s="1" t="n">
        <v>46293</v>
      </c>
      <c r="F85" t="inlineStr">
        <is>
          <t>JÖNKÖPINGS LÄN</t>
        </is>
      </c>
      <c r="G85" t="inlineStr">
        <is>
          <t>NÄSSJÖ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46293</v>
      </c>
      <c r="F86" t="inlineStr">
        <is>
          <t>JÖNKÖPINGS LÄN</t>
        </is>
      </c>
      <c r="G86" t="inlineStr">
        <is>
          <t>NÄSSJÖ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57931-2021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46293</v>
      </c>
      <c r="F87" t="inlineStr">
        <is>
          <t>JÖNKÖPINGS LÄN</t>
        </is>
      </c>
      <c r="G87" t="inlineStr">
        <is>
          <t>NÄSSJÖ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46293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46293</v>
      </c>
      <c r="F89" t="inlineStr">
        <is>
          <t>JÖNKÖPINGS LÄN</t>
        </is>
      </c>
      <c r="G89" t="inlineStr">
        <is>
          <t>NÄSSJÖ</t>
        </is>
      </c>
      <c r="I89" t="n">
        <v>12.9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44858</v>
      </c>
      <c r="E90" s="1" t="n">
        <v>46293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46293</v>
      </c>
      <c r="F91" t="inlineStr">
        <is>
          <t>JÖNKÖPINGS LÄN</t>
        </is>
      </c>
      <c r="G91" t="inlineStr">
        <is>
          <t>NÄSSJÖ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46293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46293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46293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44568</v>
      </c>
      <c r="E95" s="1" t="n">
        <v>46293</v>
      </c>
      <c r="F95" t="inlineStr">
        <is>
          <t>JÖNKÖPINGS LÄN</t>
        </is>
      </c>
      <c r="G95" t="inlineStr">
        <is>
          <t>NÄSSJÖ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46293</v>
      </c>
      <c r="F96" t="inlineStr">
        <is>
          <t>JÖNKÖPINGS LÄN</t>
        </is>
      </c>
      <c r="G96" t="inlineStr">
        <is>
          <t>NÄSSJÖ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44816</v>
      </c>
      <c r="E97" s="1" t="n">
        <v>46293</v>
      </c>
      <c r="F97" t="inlineStr">
        <is>
          <t>JÖNKÖPINGS LÄN</t>
        </is>
      </c>
      <c r="G97" t="inlineStr">
        <is>
          <t>NÄSSJÖ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46293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46293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46293</v>
      </c>
      <c r="F100" t="inlineStr">
        <is>
          <t>JÖNKÖPINGS LÄN</t>
        </is>
      </c>
      <c r="G100" t="inlineStr">
        <is>
          <t>NÄSSJÖ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46293</v>
      </c>
      <c r="F101" t="inlineStr">
        <is>
          <t>JÖNKÖPINGS LÄN</t>
        </is>
      </c>
      <c r="G101" t="inlineStr">
        <is>
          <t>NÄSSJÖ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46293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46293</v>
      </c>
      <c r="F103" t="inlineStr">
        <is>
          <t>JÖNKÖPINGS LÄN</t>
        </is>
      </c>
      <c r="G103" t="inlineStr">
        <is>
          <t>NÄSSJÖ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46293</v>
      </c>
      <c r="F104" t="inlineStr">
        <is>
          <t>JÖNKÖPINGS LÄN</t>
        </is>
      </c>
      <c r="G104" t="inlineStr">
        <is>
          <t>NÄSSJÖ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10436-2025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45720</v>
      </c>
      <c r="E105" s="1" t="n">
        <v>46293</v>
      </c>
      <c r="F105" t="inlineStr">
        <is>
          <t>JÖNKÖPINGS LÄN</t>
        </is>
      </c>
      <c r="G105" t="inlineStr">
        <is>
          <t>NÄSSJÖ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45404</v>
      </c>
      <c r="E106" s="1" t="n">
        <v>46293</v>
      </c>
      <c r="F106" t="inlineStr">
        <is>
          <t>JÖNKÖPINGS LÄN</t>
        </is>
      </c>
      <c r="G106" t="inlineStr">
        <is>
          <t>NÄSSJÖ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46293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46293</v>
      </c>
      <c r="F108" t="inlineStr">
        <is>
          <t>JÖNKÖPINGS LÄN</t>
        </is>
      </c>
      <c r="G108" t="inlineStr">
        <is>
          <t>NÄSSJÖ</t>
        </is>
      </c>
      <c r="H108" t="inlineStr">
        <is>
          <t>Kommuner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45219</v>
      </c>
      <c r="E109" s="1" t="n">
        <v>46293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46293</v>
      </c>
      <c r="F110" t="inlineStr">
        <is>
          <t>JÖNKÖPINGS LÄN</t>
        </is>
      </c>
      <c r="G110" t="inlineStr">
        <is>
          <t>NÄSSJÖ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46293</v>
      </c>
      <c r="F111" t="inlineStr">
        <is>
          <t>JÖNKÖPINGS LÄN</t>
        </is>
      </c>
      <c r="G111" t="inlineStr">
        <is>
          <t>NÄSSJÖ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46293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46293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44928</v>
      </c>
      <c r="E114" s="1" t="n">
        <v>46293</v>
      </c>
      <c r="F114" t="inlineStr">
        <is>
          <t>JÖNKÖPINGS LÄN</t>
        </is>
      </c>
      <c r="G114" t="inlineStr">
        <is>
          <t>NÄSSJÖ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46293</v>
      </c>
      <c r="F115" t="inlineStr">
        <is>
          <t>JÖNKÖPINGS LÄN</t>
        </is>
      </c>
      <c r="G115" t="inlineStr">
        <is>
          <t>NÄSSJÖ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45460</v>
      </c>
      <c r="E116" s="1" t="n">
        <v>46293</v>
      </c>
      <c r="F116" t="inlineStr">
        <is>
          <t>JÖNKÖPINGS LÄN</t>
        </is>
      </c>
      <c r="G116" t="inlineStr">
        <is>
          <t>NÄSSJÖ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46293</v>
      </c>
      <c r="F117" t="inlineStr">
        <is>
          <t>JÖNKÖPINGS LÄN</t>
        </is>
      </c>
      <c r="G117" t="inlineStr">
        <is>
          <t>NÄSSJÖ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46293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44858</v>
      </c>
      <c r="E119" s="1" t="n">
        <v>46293</v>
      </c>
      <c r="F119" t="inlineStr">
        <is>
          <t>JÖNKÖPINGS LÄN</t>
        </is>
      </c>
      <c r="G119" t="inlineStr">
        <is>
          <t>NÄSSJÖ</t>
        </is>
      </c>
      <c r="H119" t="inlineStr">
        <is>
          <t>Kommuner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46293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46293</v>
      </c>
      <c r="F121" t="inlineStr">
        <is>
          <t>JÖNKÖPINGS LÄN</t>
        </is>
      </c>
      <c r="G121" t="inlineStr">
        <is>
          <t>NÄSSJÖ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32982-2024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45517</v>
      </c>
      <c r="E122" s="1" t="n">
        <v>46293</v>
      </c>
      <c r="F122" t="inlineStr">
        <is>
          <t>JÖNKÖPINGS LÄN</t>
        </is>
      </c>
      <c r="G122" t="inlineStr">
        <is>
          <t>NÄSSJÖ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45307</v>
      </c>
      <c r="E123" s="1" t="n">
        <v>46293</v>
      </c>
      <c r="F123" t="inlineStr">
        <is>
          <t>JÖNKÖPINGS LÄN</t>
        </is>
      </c>
      <c r="G123" t="inlineStr">
        <is>
          <t>NÄSSJÖ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45795</v>
      </c>
      <c r="E124" s="1" t="n">
        <v>46293</v>
      </c>
      <c r="F124" t="inlineStr">
        <is>
          <t>JÖNKÖPINGS LÄN</t>
        </is>
      </c>
      <c r="G124" t="inlineStr">
        <is>
          <t>NÄSSJÖ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45795</v>
      </c>
      <c r="E125" s="1" t="n">
        <v>46293</v>
      </c>
      <c r="F125" t="inlineStr">
        <is>
          <t>JÖNKÖPINGS LÄN</t>
        </is>
      </c>
      <c r="G125" t="inlineStr">
        <is>
          <t>NÄSSJÖ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46293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46293</v>
      </c>
      <c r="F127" t="inlineStr">
        <is>
          <t>JÖNKÖPINGS LÄN</t>
        </is>
      </c>
      <c r="G127" t="inlineStr">
        <is>
          <t>NÄSSJÖ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45154</v>
      </c>
      <c r="E128" s="1" t="n">
        <v>46293</v>
      </c>
      <c r="F128" t="inlineStr">
        <is>
          <t>JÖNKÖPINGS LÄN</t>
        </is>
      </c>
      <c r="G128" t="inlineStr">
        <is>
          <t>NÄSSJÖ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46293</v>
      </c>
      <c r="F129" t="inlineStr">
        <is>
          <t>JÖNKÖPINGS LÄN</t>
        </is>
      </c>
      <c r="G129" t="inlineStr">
        <is>
          <t>NÄSSJÖ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46293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46293</v>
      </c>
      <c r="F131" t="inlineStr">
        <is>
          <t>JÖNKÖPINGS LÄN</t>
        </is>
      </c>
      <c r="G131" t="inlineStr">
        <is>
          <t>NÄSSJÖ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45260</v>
      </c>
      <c r="E132" s="1" t="n">
        <v>46293</v>
      </c>
      <c r="F132" t="inlineStr">
        <is>
          <t>JÖNKÖPINGS LÄN</t>
        </is>
      </c>
      <c r="G132" t="inlineStr">
        <is>
          <t>NÄSSJÖ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46293</v>
      </c>
      <c r="F133" t="inlineStr">
        <is>
          <t>JÖNKÖPINGS LÄN</t>
        </is>
      </c>
      <c r="G133" t="inlineStr">
        <is>
          <t>NÄSSJÖ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46293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45485</v>
      </c>
      <c r="E135" s="1" t="n">
        <v>46293</v>
      </c>
      <c r="F135" t="inlineStr">
        <is>
          <t>JÖNKÖPINGS LÄN</t>
        </is>
      </c>
      <c r="G135" t="inlineStr">
        <is>
          <t>NÄSSJÖ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46293</v>
      </c>
      <c r="F136" t="inlineStr">
        <is>
          <t>JÖNKÖPINGS LÄN</t>
        </is>
      </c>
      <c r="G136" t="inlineStr">
        <is>
          <t>NÄSSJÖ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45733</v>
      </c>
      <c r="E137" s="1" t="n">
        <v>46293</v>
      </c>
      <c r="F137" t="inlineStr">
        <is>
          <t>JÖNKÖPINGS LÄN</t>
        </is>
      </c>
      <c r="G137" t="inlineStr">
        <is>
          <t>NÄSSJÖ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44867</v>
      </c>
      <c r="E138" s="1" t="n">
        <v>46293</v>
      </c>
      <c r="F138" t="inlineStr">
        <is>
          <t>JÖNKÖPINGS LÄN</t>
        </is>
      </c>
      <c r="G138" t="inlineStr">
        <is>
          <t>NÄSSJÖ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46293</v>
      </c>
      <c r="F139" t="inlineStr">
        <is>
          <t>JÖNKÖPINGS LÄN</t>
        </is>
      </c>
      <c r="G139" t="inlineStr">
        <is>
          <t>NÄSSJÖ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45604</v>
      </c>
      <c r="E140" s="1" t="n">
        <v>46293</v>
      </c>
      <c r="F140" t="inlineStr">
        <is>
          <t>JÖNKÖPINGS LÄN</t>
        </is>
      </c>
      <c r="G140" t="inlineStr">
        <is>
          <t>NÄSSJÖ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46293</v>
      </c>
      <c r="F141" t="inlineStr">
        <is>
          <t>JÖNKÖPINGS LÄN</t>
        </is>
      </c>
      <c r="G141" t="inlineStr">
        <is>
          <t>NÄSSJÖ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46293</v>
      </c>
      <c r="F142" t="inlineStr">
        <is>
          <t>JÖNKÖPINGS LÄN</t>
        </is>
      </c>
      <c r="G142" t="inlineStr">
        <is>
          <t>NÄSSJÖ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46293</v>
      </c>
      <c r="F143" t="inlineStr">
        <is>
          <t>JÖNKÖPINGS LÄN</t>
        </is>
      </c>
      <c r="G143" t="inlineStr">
        <is>
          <t>NÄSSJÖ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46293</v>
      </c>
      <c r="F144" t="inlineStr">
        <is>
          <t>JÖNKÖPINGS LÄN</t>
        </is>
      </c>
      <c r="G144" t="inlineStr">
        <is>
          <t>NÄSSJÖ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46293</v>
      </c>
      <c r="F145" t="inlineStr">
        <is>
          <t>JÖNKÖPINGS LÄN</t>
        </is>
      </c>
      <c r="G145" t="inlineStr">
        <is>
          <t>NÄSSJÖ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46293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39555-2025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45890</v>
      </c>
      <c r="E147" s="1" t="n">
        <v>46293</v>
      </c>
      <c r="F147" t="inlineStr">
        <is>
          <t>JÖNKÖPINGS LÄN</t>
        </is>
      </c>
      <c r="G147" t="inlineStr">
        <is>
          <t>NÄSSJÖ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46293</v>
      </c>
      <c r="F148" t="inlineStr">
        <is>
          <t>JÖNKÖPINGS LÄN</t>
        </is>
      </c>
      <c r="G148" t="inlineStr">
        <is>
          <t>NÄSSJÖ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46293</v>
      </c>
      <c r="F149" t="inlineStr">
        <is>
          <t>JÖNKÖPINGS LÄN</t>
        </is>
      </c>
      <c r="G149" t="inlineStr">
        <is>
          <t>NÄSSJÖ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46293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45892</v>
      </c>
      <c r="E151" s="1" t="n">
        <v>46293</v>
      </c>
      <c r="F151" t="inlineStr">
        <is>
          <t>JÖNKÖPINGS LÄN</t>
        </is>
      </c>
      <c r="G151" t="inlineStr">
        <is>
          <t>NÄSSJÖ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46293</v>
      </c>
      <c r="F152" t="inlineStr">
        <is>
          <t>JÖNKÖPINGS LÄN</t>
        </is>
      </c>
      <c r="G152" t="inlineStr">
        <is>
          <t>NÄSSJÖ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46293</v>
      </c>
      <c r="F153" t="inlineStr">
        <is>
          <t>JÖNKÖPINGS LÄN</t>
        </is>
      </c>
      <c r="G153" t="inlineStr">
        <is>
          <t>NÄSSJÖ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46293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46293</v>
      </c>
      <c r="F155" t="inlineStr">
        <is>
          <t>JÖNKÖPINGS LÄN</t>
        </is>
      </c>
      <c r="G155" t="inlineStr">
        <is>
          <t>NÄSSJÖ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46293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46293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46293</v>
      </c>
      <c r="F158" t="inlineStr">
        <is>
          <t>JÖNKÖPINGS LÄN</t>
        </is>
      </c>
      <c r="G158" t="inlineStr">
        <is>
          <t>NÄSSJÖ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46293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46293</v>
      </c>
      <c r="F160" t="inlineStr">
        <is>
          <t>JÖNKÖPINGS LÄN</t>
        </is>
      </c>
      <c r="G160" t="inlineStr">
        <is>
          <t>NÄSSJÖ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46293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46293</v>
      </c>
      <c r="F162" t="inlineStr">
        <is>
          <t>JÖNKÖPINGS LÄN</t>
        </is>
      </c>
      <c r="G162" t="inlineStr">
        <is>
          <t>NÄSSJÖ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45907</v>
      </c>
      <c r="E163" s="1" t="n">
        <v>46293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46293</v>
      </c>
      <c r="F164" t="inlineStr">
        <is>
          <t>JÖNKÖPINGS LÄN</t>
        </is>
      </c>
      <c r="G164" t="inlineStr">
        <is>
          <t>NÄSSJÖ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46293</v>
      </c>
      <c r="F165" t="inlineStr">
        <is>
          <t>JÖNKÖPINGS LÄN</t>
        </is>
      </c>
      <c r="G165" t="inlineStr">
        <is>
          <t>NÄSSJÖ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46293</v>
      </c>
      <c r="F166" t="inlineStr">
        <is>
          <t>JÖNKÖPINGS LÄN</t>
        </is>
      </c>
      <c r="G166" t="inlineStr">
        <is>
          <t>NÄSSJÖ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46293</v>
      </c>
      <c r="F167" t="inlineStr">
        <is>
          <t>JÖNKÖPINGS LÄN</t>
        </is>
      </c>
      <c r="G167" t="inlineStr">
        <is>
          <t>NÄSSJÖ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46293</v>
      </c>
      <c r="F168" t="inlineStr">
        <is>
          <t>JÖNKÖPINGS LÄN</t>
        </is>
      </c>
      <c r="G168" t="inlineStr">
        <is>
          <t>NÄSSJÖ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46293</v>
      </c>
      <c r="F169" t="inlineStr">
        <is>
          <t>JÖNKÖPINGS LÄN</t>
        </is>
      </c>
      <c r="G169" t="inlineStr">
        <is>
          <t>NÄSSJÖ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46293</v>
      </c>
      <c r="F170" t="inlineStr">
        <is>
          <t>JÖNKÖPINGS LÄN</t>
        </is>
      </c>
      <c r="G170" t="inlineStr">
        <is>
          <t>NÄSSJÖ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46293</v>
      </c>
      <c r="F171" t="inlineStr">
        <is>
          <t>JÖNKÖPINGS LÄN</t>
        </is>
      </c>
      <c r="G171" t="inlineStr">
        <is>
          <t>NÄSSJÖ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54303-2021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44472</v>
      </c>
      <c r="E172" s="1" t="n">
        <v>46293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45776</v>
      </c>
      <c r="E173" s="1" t="n">
        <v>46293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46293</v>
      </c>
      <c r="F174" t="inlineStr">
        <is>
          <t>JÖNKÖPINGS LÄN</t>
        </is>
      </c>
      <c r="G174" t="inlineStr">
        <is>
          <t>NÄSSJÖ</t>
        </is>
      </c>
      <c r="H174" t="inlineStr">
        <is>
          <t>Övriga Aktiebolag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46293</v>
      </c>
      <c r="F175" t="inlineStr">
        <is>
          <t>JÖNKÖPINGS LÄN</t>
        </is>
      </c>
      <c r="G175" t="inlineStr">
        <is>
          <t>NÄSSJÖ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46293</v>
      </c>
      <c r="F176" t="inlineStr">
        <is>
          <t>JÖNKÖPINGS LÄN</t>
        </is>
      </c>
      <c r="G176" t="inlineStr">
        <is>
          <t>NÄSSJÖ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7591-2026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46061</v>
      </c>
      <c r="E177" s="1" t="n">
        <v>46293</v>
      </c>
      <c r="F177" t="inlineStr">
        <is>
          <t>JÖNKÖPINGS LÄN</t>
        </is>
      </c>
      <c r="G177" t="inlineStr">
        <is>
          <t>NÄSSJÖ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45917</v>
      </c>
      <c r="E178" s="1" t="n">
        <v>46293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46293</v>
      </c>
      <c r="F179" t="inlineStr">
        <is>
          <t>JÖNKÖPINGS LÄN</t>
        </is>
      </c>
      <c r="G179" t="inlineStr">
        <is>
          <t>NÄSSJÖ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46293</v>
      </c>
      <c r="F180" t="inlineStr">
        <is>
          <t>JÖNKÖPINGS LÄN</t>
        </is>
      </c>
      <c r="G180" t="inlineStr">
        <is>
          <t>NÄSSJÖ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46293</v>
      </c>
      <c r="F181" t="inlineStr">
        <is>
          <t>JÖNKÖPINGS LÄN</t>
        </is>
      </c>
      <c r="G181" t="inlineStr">
        <is>
          <t>NÄSSJÖ</t>
        </is>
      </c>
      <c r="H181" t="inlineStr">
        <is>
          <t>Kyrkan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46293</v>
      </c>
      <c r="F182" t="inlineStr">
        <is>
          <t>JÖNKÖPINGS LÄN</t>
        </is>
      </c>
      <c r="G182" t="inlineStr">
        <is>
          <t>NÄSSJÖ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46293</v>
      </c>
      <c r="F183" t="inlineStr">
        <is>
          <t>JÖNKÖPINGS LÄN</t>
        </is>
      </c>
      <c r="G183" t="inlineStr">
        <is>
          <t>NÄSSJÖ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46293</v>
      </c>
      <c r="F184" t="inlineStr">
        <is>
          <t>JÖNKÖPINGS LÄN</t>
        </is>
      </c>
      <c r="G184" t="inlineStr">
        <is>
          <t>NÄSSJÖ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45031</v>
      </c>
      <c r="E185" s="1" t="n">
        <v>46293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46293</v>
      </c>
      <c r="F186" t="inlineStr">
        <is>
          <t>JÖNKÖPINGS LÄN</t>
        </is>
      </c>
      <c r="G186" t="inlineStr">
        <is>
          <t>NÄSSJÖ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46293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46074</v>
      </c>
      <c r="E188" s="1" t="n">
        <v>46293</v>
      </c>
      <c r="F188" t="inlineStr">
        <is>
          <t>JÖNKÖPINGS LÄN</t>
        </is>
      </c>
      <c r="G188" t="inlineStr">
        <is>
          <t>NÄSSJÖ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46293</v>
      </c>
      <c r="F189" t="inlineStr">
        <is>
          <t>JÖNKÖPINGS LÄN</t>
        </is>
      </c>
      <c r="G189" t="inlineStr">
        <is>
          <t>NÄSSJÖ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46293</v>
      </c>
      <c r="F190" t="inlineStr">
        <is>
          <t>JÖNKÖPINGS LÄN</t>
        </is>
      </c>
      <c r="G190" t="inlineStr">
        <is>
          <t>NÄSSJÖ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45369</v>
      </c>
      <c r="E191" s="1" t="n">
        <v>46293</v>
      </c>
      <c r="F191" t="inlineStr">
        <is>
          <t>JÖNKÖPINGS LÄN</t>
        </is>
      </c>
      <c r="G191" t="inlineStr">
        <is>
          <t>NÄSSJÖ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46079</v>
      </c>
      <c r="E192" s="1" t="n">
        <v>46293</v>
      </c>
      <c r="F192" t="inlineStr">
        <is>
          <t>JÖNKÖPINGS LÄN</t>
        </is>
      </c>
      <c r="G192" t="inlineStr">
        <is>
          <t>NÄSSJÖ</t>
        </is>
      </c>
      <c r="H192" t="inlineStr">
        <is>
          <t>Kyrkan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45573</v>
      </c>
      <c r="E193" s="1" t="n">
        <v>46293</v>
      </c>
      <c r="F193" t="inlineStr">
        <is>
          <t>JÖNKÖPINGS LÄN</t>
        </is>
      </c>
      <c r="G193" t="inlineStr">
        <is>
          <t>NÄSSJÖ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46293</v>
      </c>
      <c r="F194" t="inlineStr">
        <is>
          <t>JÖNKÖPINGS LÄN</t>
        </is>
      </c>
      <c r="G194" t="inlineStr">
        <is>
          <t>NÄSSJÖ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46293</v>
      </c>
      <c r="F195" t="inlineStr">
        <is>
          <t>JÖNKÖPINGS LÄN</t>
        </is>
      </c>
      <c r="G195" t="inlineStr">
        <is>
          <t>NÄSSJÖ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46293</v>
      </c>
      <c r="F196" t="inlineStr">
        <is>
          <t>JÖNKÖPINGS LÄN</t>
        </is>
      </c>
      <c r="G196" t="inlineStr">
        <is>
          <t>NÄSSJÖ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46293</v>
      </c>
      <c r="F197" t="inlineStr">
        <is>
          <t>JÖNKÖPINGS LÄN</t>
        </is>
      </c>
      <c r="G197" t="inlineStr">
        <is>
          <t>NÄSSJÖ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46293</v>
      </c>
      <c r="F198" t="inlineStr">
        <is>
          <t>JÖNKÖPINGS LÄN</t>
        </is>
      </c>
      <c r="G198" t="inlineStr">
        <is>
          <t>NÄSSJÖ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46293</v>
      </c>
      <c r="F199" t="inlineStr">
        <is>
          <t>JÖNKÖPINGS LÄN</t>
        </is>
      </c>
      <c r="G199" t="inlineStr">
        <is>
          <t>NÄSSJÖ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12652-2026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46091</v>
      </c>
      <c r="E200" s="1" t="n">
        <v>46293</v>
      </c>
      <c r="F200" t="inlineStr">
        <is>
          <t>JÖNKÖPINGS LÄN</t>
        </is>
      </c>
      <c r="G200" t="inlineStr">
        <is>
          <t>NÄSSJÖ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49880-2023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45213</v>
      </c>
      <c r="E201" s="1" t="n">
        <v>46293</v>
      </c>
      <c r="F201" t="inlineStr">
        <is>
          <t>JÖNKÖPINGS LÄN</t>
        </is>
      </c>
      <c r="G201" t="inlineStr">
        <is>
          <t>NÄSSJÖ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44945</v>
      </c>
      <c r="E202" s="1" t="n">
        <v>46293</v>
      </c>
      <c r="F202" t="inlineStr">
        <is>
          <t>JÖNKÖPINGS LÄN</t>
        </is>
      </c>
      <c r="G202" t="inlineStr">
        <is>
          <t>NÄSSJÖ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46293</v>
      </c>
      <c r="F203" t="inlineStr">
        <is>
          <t>JÖNKÖPINGS LÄN</t>
        </is>
      </c>
      <c r="G203" t="inlineStr">
        <is>
          <t>NÄSSJÖ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46093</v>
      </c>
      <c r="E204" s="1" t="n">
        <v>46293</v>
      </c>
      <c r="F204" t="inlineStr">
        <is>
          <t>JÖNKÖPINGS LÄN</t>
        </is>
      </c>
      <c r="G204" t="inlineStr">
        <is>
          <t>NÄSSJÖ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46293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46293</v>
      </c>
      <c r="F206" t="inlineStr">
        <is>
          <t>JÖNKÖPINGS LÄN</t>
        </is>
      </c>
      <c r="G206" t="inlineStr">
        <is>
          <t>NÄSSJÖ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46293</v>
      </c>
      <c r="F207" t="inlineStr">
        <is>
          <t>JÖNKÖPINGS LÄN</t>
        </is>
      </c>
      <c r="G207" t="inlineStr">
        <is>
          <t>NÄSSJÖ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46293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46293</v>
      </c>
      <c r="F209" t="inlineStr">
        <is>
          <t>JÖNKÖPINGS LÄN</t>
        </is>
      </c>
      <c r="G209" t="inlineStr">
        <is>
          <t>NÄSSJÖ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45943</v>
      </c>
      <c r="E210" s="1" t="n">
        <v>46293</v>
      </c>
      <c r="F210" t="inlineStr">
        <is>
          <t>JÖNKÖPINGS LÄN</t>
        </is>
      </c>
      <c r="G210" t="inlineStr">
        <is>
          <t>NÄSSJÖ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46293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46293</v>
      </c>
      <c r="F212" t="inlineStr">
        <is>
          <t>JÖNKÖPINGS LÄN</t>
        </is>
      </c>
      <c r="G212" t="inlineStr">
        <is>
          <t>NÄSSJÖ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45942</v>
      </c>
      <c r="E213" s="1" t="n">
        <v>46293</v>
      </c>
      <c r="F213" t="inlineStr">
        <is>
          <t>JÖNKÖPINGS LÄN</t>
        </is>
      </c>
      <c r="G213" t="inlineStr">
        <is>
          <t>NÄSSJÖ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46293</v>
      </c>
      <c r="F214" t="inlineStr">
        <is>
          <t>JÖNKÖPINGS LÄN</t>
        </is>
      </c>
      <c r="G214" t="inlineStr">
        <is>
          <t>NÄSSJÖ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46293</v>
      </c>
      <c r="F215" t="inlineStr">
        <is>
          <t>JÖNKÖPINGS LÄN</t>
        </is>
      </c>
      <c r="G215" t="inlineStr">
        <is>
          <t>NÄSSJÖ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46293</v>
      </c>
      <c r="F216" t="inlineStr">
        <is>
          <t>JÖNKÖPINGS LÄN</t>
        </is>
      </c>
      <c r="G216" t="inlineStr">
        <is>
          <t>NÄSSJÖ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46100</v>
      </c>
      <c r="E217" s="1" t="n">
        <v>46293</v>
      </c>
      <c r="F217" t="inlineStr">
        <is>
          <t>JÖNKÖPINGS LÄN</t>
        </is>
      </c>
      <c r="G217" t="inlineStr">
        <is>
          <t>NÄSSJÖ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46293</v>
      </c>
      <c r="F218" t="inlineStr">
        <is>
          <t>JÖNKÖPINGS LÄN</t>
        </is>
      </c>
      <c r="G218" t="inlineStr">
        <is>
          <t>NÄSSJÖ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46101</v>
      </c>
      <c r="E219" s="1" t="n">
        <v>46293</v>
      </c>
      <c r="F219" t="inlineStr">
        <is>
          <t>JÖNKÖPINGS LÄN</t>
        </is>
      </c>
      <c r="G219" t="inlineStr">
        <is>
          <t>NÄSSJÖ</t>
        </is>
      </c>
      <c r="H219" t="inlineStr">
        <is>
          <t>Kommuner</t>
        </is>
      </c>
      <c r="I219" t="n">
        <v>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50439-2025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45944</v>
      </c>
      <c r="E220" s="1" t="n">
        <v>46293</v>
      </c>
      <c r="F220" t="inlineStr">
        <is>
          <t>JÖNKÖPINGS LÄN</t>
        </is>
      </c>
      <c r="G220" t="inlineStr">
        <is>
          <t>NÄSSJÖ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15172-2026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46293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46293</v>
      </c>
      <c r="F222" t="inlineStr">
        <is>
          <t>JÖNKÖPINGS LÄN</t>
        </is>
      </c>
      <c r="G222" t="inlineStr">
        <is>
          <t>NÄSSJÖ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44945</v>
      </c>
      <c r="E223" s="1" t="n">
        <v>46293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46293</v>
      </c>
      <c r="F224" t="inlineStr">
        <is>
          <t>JÖNKÖPINGS LÄN</t>
        </is>
      </c>
      <c r="G224" t="inlineStr">
        <is>
          <t>NÄSSJÖ</t>
        </is>
      </c>
      <c r="H224" t="inlineStr">
        <is>
          <t>Kommuner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46293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46293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44939</v>
      </c>
      <c r="E227" s="1" t="n">
        <v>46293</v>
      </c>
      <c r="F227" t="inlineStr">
        <is>
          <t>JÖNKÖPINGS LÄN</t>
        </is>
      </c>
      <c r="G227" t="inlineStr">
        <is>
          <t>NÄSSJÖ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46293</v>
      </c>
      <c r="F228" t="inlineStr">
        <is>
          <t>JÖNKÖPINGS LÄN</t>
        </is>
      </c>
      <c r="G228" t="inlineStr">
        <is>
          <t>NÄSSJÖ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46293</v>
      </c>
      <c r="F229" t="inlineStr">
        <is>
          <t>JÖNKÖPINGS LÄN</t>
        </is>
      </c>
      <c r="G229" t="inlineStr">
        <is>
          <t>NÄSSJÖ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46293</v>
      </c>
      <c r="F230" t="inlineStr">
        <is>
          <t>JÖNKÖPINGS LÄN</t>
        </is>
      </c>
      <c r="G230" t="inlineStr">
        <is>
          <t>NÄSSJÖ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46293</v>
      </c>
      <c r="F231" t="inlineStr">
        <is>
          <t>JÖNKÖPINGS LÄN</t>
        </is>
      </c>
      <c r="G231" t="inlineStr">
        <is>
          <t>NÄSSJÖ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46293</v>
      </c>
      <c r="F232" t="inlineStr">
        <is>
          <t>JÖNKÖPINGS LÄN</t>
        </is>
      </c>
      <c r="G232" t="inlineStr">
        <is>
          <t>NÄSSJÖ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45013</v>
      </c>
      <c r="E233" s="1" t="n">
        <v>46293</v>
      </c>
      <c r="F233" t="inlineStr">
        <is>
          <t>JÖNKÖPINGS LÄN</t>
        </is>
      </c>
      <c r="G233" t="inlineStr">
        <is>
          <t>NÄSSJÖ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46293</v>
      </c>
      <c r="F234" t="inlineStr">
        <is>
          <t>JÖNKÖPINGS LÄN</t>
        </is>
      </c>
      <c r="G234" t="inlineStr">
        <is>
          <t>NÄSSJÖ</t>
        </is>
      </c>
      <c r="H234" t="inlineStr">
        <is>
          <t>Kommuner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44965</v>
      </c>
      <c r="E235" s="1" t="n">
        <v>46293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46120</v>
      </c>
      <c r="E236" s="1" t="n">
        <v>46293</v>
      </c>
      <c r="F236" t="inlineStr">
        <is>
          <t>JÖNKÖPINGS LÄN</t>
        </is>
      </c>
      <c r="G236" t="inlineStr">
        <is>
          <t>NÄSSJÖ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46293</v>
      </c>
      <c r="F237" t="inlineStr">
        <is>
          <t>JÖNKÖPINGS LÄN</t>
        </is>
      </c>
      <c r="G237" t="inlineStr">
        <is>
          <t>NÄSSJÖ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46293</v>
      </c>
      <c r="F238" t="inlineStr">
        <is>
          <t>JÖNKÖPINGS LÄN</t>
        </is>
      </c>
      <c r="G238" t="inlineStr">
        <is>
          <t>NÄSSJÖ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45818</v>
      </c>
      <c r="E239" s="1" t="n">
        <v>46293</v>
      </c>
      <c r="F239" t="inlineStr">
        <is>
          <t>JÖNKÖPINGS LÄN</t>
        </is>
      </c>
      <c r="G239" t="inlineStr">
        <is>
          <t>NÄSSJÖ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46293</v>
      </c>
      <c r="F240" t="inlineStr">
        <is>
          <t>JÖNKÖPINGS LÄN</t>
        </is>
      </c>
      <c r="G240" t="inlineStr">
        <is>
          <t>NÄSSJÖ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46293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45975</v>
      </c>
      <c r="E242" s="1" t="n">
        <v>46293</v>
      </c>
      <c r="F242" t="inlineStr">
        <is>
          <t>JÖNKÖPINGS LÄN</t>
        </is>
      </c>
      <c r="G242" t="inlineStr">
        <is>
          <t>NÄSSJÖ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  <c r="Z242">
        <f>HYPERLINK("https://klasma.github.io/Logging_0682/knärot/A 56586-2025 karta knärot.png", "A 56586-2025")</f>
        <v/>
      </c>
      <c r="AA242">
        <f>HYPERLINK("https://klasma.github.io/Logging_0682/klagomål/A 56586-2025 FSC-klagomål.docx", "A 56586-2025")</f>
        <v/>
      </c>
      <c r="AB242">
        <f>HYPERLINK("https://klasma.github.io/Logging_0682/klagomålsmail/A 56586-2025 FSC-klagomål mail.docx", "A 56586-2025")</f>
        <v/>
      </c>
      <c r="AC242">
        <f>HYPERLINK("https://klasma.github.io/Logging_0682/tillsyn/A 56586-2025 tillsynsbegäran.docx", "A 56586-2025")</f>
        <v/>
      </c>
      <c r="AD242">
        <f>HYPERLINK("https://klasma.github.io/Logging_0682/tillsynsmail/A 56586-2025 tillsynsbegäran mail.docx", "A 56586-2025")</f>
        <v/>
      </c>
    </row>
    <row r="243" ht="15" customHeight="1">
      <c r="A243" t="inlineStr">
        <is>
          <t>A 57550-2025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46293</v>
      </c>
      <c r="F243" t="inlineStr">
        <is>
          <t>JÖNKÖPINGS LÄN</t>
        </is>
      </c>
      <c r="G243" t="inlineStr">
        <is>
          <t>NÄSSJÖ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45014</v>
      </c>
      <c r="E244" s="1" t="n">
        <v>46293</v>
      </c>
      <c r="F244" t="inlineStr">
        <is>
          <t>JÖNKÖPINGS LÄN</t>
        </is>
      </c>
      <c r="G244" t="inlineStr">
        <is>
          <t>NÄSSJÖ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46293</v>
      </c>
      <c r="F245" t="inlineStr">
        <is>
          <t>JÖNKÖPINGS LÄN</t>
        </is>
      </c>
      <c r="G245" t="inlineStr">
        <is>
          <t>NÄSSJÖ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45702</v>
      </c>
      <c r="E246" s="1" t="n">
        <v>46293</v>
      </c>
      <c r="F246" t="inlineStr">
        <is>
          <t>JÖNKÖPINGS LÄN</t>
        </is>
      </c>
      <c r="G246" t="inlineStr">
        <is>
          <t>NÄSSJÖ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46293</v>
      </c>
      <c r="F247" t="inlineStr">
        <is>
          <t>JÖNKÖPINGS LÄN</t>
        </is>
      </c>
      <c r="G247" t="inlineStr">
        <is>
          <t>NÄSSJÖ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46293</v>
      </c>
      <c r="F248" t="inlineStr">
        <is>
          <t>JÖNKÖPINGS LÄN</t>
        </is>
      </c>
      <c r="G248" t="inlineStr">
        <is>
          <t>NÄSSJÖ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46293</v>
      </c>
      <c r="F249" t="inlineStr">
        <is>
          <t>JÖNKÖPINGS LÄN</t>
        </is>
      </c>
      <c r="G249" t="inlineStr">
        <is>
          <t>NÄSSJÖ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46293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46293</v>
      </c>
      <c r="F251" t="inlineStr">
        <is>
          <t>JÖNKÖPINGS LÄN</t>
        </is>
      </c>
      <c r="G251" t="inlineStr">
        <is>
          <t>NÄSSJÖ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46293</v>
      </c>
      <c r="F252" t="inlineStr">
        <is>
          <t>JÖNKÖPINGS LÄN</t>
        </is>
      </c>
      <c r="G252" t="inlineStr">
        <is>
          <t>NÄSSJÖ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46293</v>
      </c>
      <c r="F253" t="inlineStr">
        <is>
          <t>JÖNKÖPINGS LÄN</t>
        </is>
      </c>
      <c r="G253" t="inlineStr">
        <is>
          <t>NÄSSJÖ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46293</v>
      </c>
      <c r="F254" t="inlineStr">
        <is>
          <t>JÖNKÖPINGS LÄN</t>
        </is>
      </c>
      <c r="G254" t="inlineStr">
        <is>
          <t>NÄSSJÖ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46293</v>
      </c>
      <c r="F255" t="inlineStr">
        <is>
          <t>JÖNKÖPINGS LÄN</t>
        </is>
      </c>
      <c r="G255" t="inlineStr">
        <is>
          <t>NÄSSJÖ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36945-2023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46293</v>
      </c>
      <c r="F256" t="inlineStr">
        <is>
          <t>JÖNKÖPINGS LÄN</t>
        </is>
      </c>
      <c r="G256" t="inlineStr">
        <is>
          <t>NÄSSJÖ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46293</v>
      </c>
      <c r="F257" t="inlineStr">
        <is>
          <t>JÖNKÖPINGS LÄN</t>
        </is>
      </c>
      <c r="G257" t="inlineStr">
        <is>
          <t>NÄSSJÖ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60535-2025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45995</v>
      </c>
      <c r="E258" s="1" t="n">
        <v>46293</v>
      </c>
      <c r="F258" t="inlineStr">
        <is>
          <t>JÖNKÖPINGS LÄN</t>
        </is>
      </c>
      <c r="G258" t="inlineStr">
        <is>
          <t>NÄSSJÖ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46293</v>
      </c>
      <c r="F259" t="inlineStr">
        <is>
          <t>JÖNKÖPINGS LÄN</t>
        </is>
      </c>
      <c r="G259" t="inlineStr">
        <is>
          <t>NÄSSJÖ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46293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46293</v>
      </c>
      <c r="F261" t="inlineStr">
        <is>
          <t>JÖNKÖPINGS LÄN</t>
        </is>
      </c>
      <c r="G261" t="inlineStr">
        <is>
          <t>NÄSSJÖ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46293</v>
      </c>
      <c r="F262" t="inlineStr">
        <is>
          <t>JÖNKÖPINGS LÄN</t>
        </is>
      </c>
      <c r="G262" t="inlineStr">
        <is>
          <t>NÄSSJÖ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46293</v>
      </c>
      <c r="F263" t="inlineStr">
        <is>
          <t>JÖNKÖPINGS LÄN</t>
        </is>
      </c>
      <c r="G263" t="inlineStr">
        <is>
          <t>NÄSSJÖ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45733</v>
      </c>
      <c r="E264" s="1" t="n">
        <v>46293</v>
      </c>
      <c r="F264" t="inlineStr">
        <is>
          <t>JÖNKÖPINGS LÄN</t>
        </is>
      </c>
      <c r="G264" t="inlineStr">
        <is>
          <t>NÄSSJÖ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45694</v>
      </c>
      <c r="E265" s="1" t="n">
        <v>46293</v>
      </c>
      <c r="F265" t="inlineStr">
        <is>
          <t>JÖNKÖPINGS LÄN</t>
        </is>
      </c>
      <c r="G265" t="inlineStr">
        <is>
          <t>NÄSSJÖ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46293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46293</v>
      </c>
      <c r="F267" t="inlineStr">
        <is>
          <t>JÖNKÖPINGS LÄN</t>
        </is>
      </c>
      <c r="G267" t="inlineStr">
        <is>
          <t>NÄSSJÖ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46293</v>
      </c>
      <c r="F268" t="inlineStr">
        <is>
          <t>JÖNKÖPINGS LÄN</t>
        </is>
      </c>
      <c r="G268" t="inlineStr">
        <is>
          <t>NÄSSJÖ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45821</v>
      </c>
      <c r="E269" s="1" t="n">
        <v>46293</v>
      </c>
      <c r="F269" t="inlineStr">
        <is>
          <t>JÖNKÖPINGS LÄN</t>
        </is>
      </c>
      <c r="G269" t="inlineStr">
        <is>
          <t>NÄSSJÖ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46293</v>
      </c>
      <c r="F270" t="inlineStr">
        <is>
          <t>JÖNKÖPINGS LÄN</t>
        </is>
      </c>
      <c r="G270" t="inlineStr">
        <is>
          <t>NÄSSJÖ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35811-2023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45148</v>
      </c>
      <c r="E271" s="1" t="n">
        <v>46293</v>
      </c>
      <c r="F271" t="inlineStr">
        <is>
          <t>JÖNKÖPINGS LÄN</t>
        </is>
      </c>
      <c r="G271" t="inlineStr">
        <is>
          <t>NÄSSJÖ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46293</v>
      </c>
      <c r="F272" t="inlineStr">
        <is>
          <t>JÖNKÖPINGS LÄN</t>
        </is>
      </c>
      <c r="G272" t="inlineStr">
        <is>
          <t>NÄSSJÖ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46293</v>
      </c>
      <c r="F273" t="inlineStr">
        <is>
          <t>JÖNKÖPINGS LÄN</t>
        </is>
      </c>
      <c r="G273" t="inlineStr">
        <is>
          <t>NÄSSJÖ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46293</v>
      </c>
      <c r="F274" t="inlineStr">
        <is>
          <t>JÖNKÖPINGS LÄN</t>
        </is>
      </c>
      <c r="G274" t="inlineStr">
        <is>
          <t>NÄSSJÖ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46293</v>
      </c>
      <c r="F275" t="inlineStr">
        <is>
          <t>JÖNKÖPINGS LÄN</t>
        </is>
      </c>
      <c r="G275" t="inlineStr">
        <is>
          <t>NÄSSJÖ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46293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46293</v>
      </c>
      <c r="F277" t="inlineStr">
        <is>
          <t>JÖNKÖPINGS LÄN</t>
        </is>
      </c>
      <c r="G277" t="inlineStr">
        <is>
          <t>NÄSSJÖ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44804</v>
      </c>
      <c r="E278" s="1" t="n">
        <v>46293</v>
      </c>
      <c r="F278" t="inlineStr">
        <is>
          <t>JÖNKÖPINGS LÄN</t>
        </is>
      </c>
      <c r="G278" t="inlineStr">
        <is>
          <t>NÄSSJÖ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63741-2023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45277</v>
      </c>
      <c r="E279" s="1" t="n">
        <v>46293</v>
      </c>
      <c r="F279" t="inlineStr">
        <is>
          <t>JÖNKÖPINGS LÄN</t>
        </is>
      </c>
      <c r="G279" t="inlineStr">
        <is>
          <t>NÄSSJÖ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46293</v>
      </c>
      <c r="F280" t="inlineStr">
        <is>
          <t>JÖNKÖPINGS LÄN</t>
        </is>
      </c>
      <c r="G280" t="inlineStr">
        <is>
          <t>NÄSSJÖ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45677</v>
      </c>
      <c r="E281" s="1" t="n">
        <v>46293</v>
      </c>
      <c r="F281" t="inlineStr">
        <is>
          <t>JÖNKÖPINGS LÄN</t>
        </is>
      </c>
      <c r="G281" t="inlineStr">
        <is>
          <t>NÄSSJÖ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46293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45732</v>
      </c>
      <c r="E283" s="1" t="n">
        <v>46293</v>
      </c>
      <c r="F283" t="inlineStr">
        <is>
          <t>JÖNKÖPINGS LÄN</t>
        </is>
      </c>
      <c r="G283" t="inlineStr">
        <is>
          <t>NÄSSJÖ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45694</v>
      </c>
      <c r="E284" s="1" t="n">
        <v>46293</v>
      </c>
      <c r="F284" t="inlineStr">
        <is>
          <t>JÖNKÖPINGS LÄN</t>
        </is>
      </c>
      <c r="G284" t="inlineStr">
        <is>
          <t>NÄSSJÖ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45821</v>
      </c>
      <c r="E285" s="1" t="n">
        <v>46293</v>
      </c>
      <c r="F285" t="inlineStr">
        <is>
          <t>JÖNKÖPINGS LÄN</t>
        </is>
      </c>
      <c r="G285" t="inlineStr">
        <is>
          <t>NÄSSJÖ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46293</v>
      </c>
      <c r="F286" t="inlineStr">
        <is>
          <t>JÖNKÖPINGS LÄN</t>
        </is>
      </c>
      <c r="G286" t="inlineStr">
        <is>
          <t>NÄSSJÖ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46293</v>
      </c>
      <c r="F287" t="inlineStr">
        <is>
          <t>JÖNKÖPINGS LÄN</t>
        </is>
      </c>
      <c r="G287" t="inlineStr">
        <is>
          <t>NÄSSJÖ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45692</v>
      </c>
      <c r="E288" s="1" t="n">
        <v>46293</v>
      </c>
      <c r="F288" t="inlineStr">
        <is>
          <t>JÖNKÖPINGS LÄN</t>
        </is>
      </c>
      <c r="G288" t="inlineStr">
        <is>
          <t>NÄSSJÖ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46293</v>
      </c>
      <c r="F289" t="inlineStr">
        <is>
          <t>JÖNKÖPINGS LÄN</t>
        </is>
      </c>
      <c r="G289" t="inlineStr">
        <is>
          <t>NÄSSJÖ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44436-2025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45916</v>
      </c>
      <c r="E290" s="1" t="n">
        <v>46293</v>
      </c>
      <c r="F290" t="inlineStr">
        <is>
          <t>JÖNKÖPINGS LÄN</t>
        </is>
      </c>
      <c r="G290" t="inlineStr">
        <is>
          <t>NÄSSJÖ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20606-2026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46140</v>
      </c>
      <c r="E291" s="1" t="n">
        <v>46293</v>
      </c>
      <c r="F291" t="inlineStr">
        <is>
          <t>JÖNKÖPINGS LÄN</t>
        </is>
      </c>
      <c r="G291" t="inlineStr">
        <is>
          <t>NÄSSJÖ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46293</v>
      </c>
      <c r="F292" t="inlineStr">
        <is>
          <t>JÖNKÖPINGS LÄN</t>
        </is>
      </c>
      <c r="G292" t="inlineStr">
        <is>
          <t>NÄSSJÖ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46020</v>
      </c>
      <c r="E293" s="1" t="n">
        <v>46293</v>
      </c>
      <c r="F293" t="inlineStr">
        <is>
          <t>JÖNKÖPINGS LÄN</t>
        </is>
      </c>
      <c r="G293" t="inlineStr">
        <is>
          <t>NÄSSJÖ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46293</v>
      </c>
      <c r="F294" t="inlineStr">
        <is>
          <t>JÖNKÖPINGS LÄN</t>
        </is>
      </c>
      <c r="G294" t="inlineStr">
        <is>
          <t>NÄSSJÖ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45083</v>
      </c>
      <c r="E295" s="1" t="n">
        <v>46293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22170-2023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46293</v>
      </c>
      <c r="F296" t="inlineStr">
        <is>
          <t>JÖNKÖPINGS LÄN</t>
        </is>
      </c>
      <c r="G296" t="inlineStr">
        <is>
          <t>NÄSSJÖ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46293</v>
      </c>
      <c r="F297" t="inlineStr">
        <is>
          <t>JÖNKÖPINGS LÄN</t>
        </is>
      </c>
      <c r="G297" t="inlineStr">
        <is>
          <t>NÄSSJÖ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45481</v>
      </c>
      <c r="E298" s="1" t="n">
        <v>46293</v>
      </c>
      <c r="F298" t="inlineStr">
        <is>
          <t>JÖNKÖPINGS LÄN</t>
        </is>
      </c>
      <c r="G298" t="inlineStr">
        <is>
          <t>NÄSSJÖ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46293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44826</v>
      </c>
      <c r="E300" s="1" t="n">
        <v>46293</v>
      </c>
      <c r="F300" t="inlineStr">
        <is>
          <t>JÖNKÖPINGS LÄN</t>
        </is>
      </c>
      <c r="G300" t="inlineStr">
        <is>
          <t>NÄSSJÖ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46293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46293</v>
      </c>
      <c r="F302" t="inlineStr">
        <is>
          <t>JÖNKÖPINGS LÄN</t>
        </is>
      </c>
      <c r="G302" t="inlineStr">
        <is>
          <t>NÄSSJÖ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45275</v>
      </c>
      <c r="E303" s="1" t="n">
        <v>46293</v>
      </c>
      <c r="F303" t="inlineStr">
        <is>
          <t>JÖNKÖPINGS LÄN</t>
        </is>
      </c>
      <c r="G303" t="inlineStr">
        <is>
          <t>NÄSSJÖ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45732</v>
      </c>
      <c r="E304" s="1" t="n">
        <v>46293</v>
      </c>
      <c r="F304" t="inlineStr">
        <is>
          <t>JÖNKÖPINGS LÄN</t>
        </is>
      </c>
      <c r="G304" t="inlineStr">
        <is>
          <t>NÄSSJÖ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44608</v>
      </c>
      <c r="E305" s="1" t="n">
        <v>46293</v>
      </c>
      <c r="F305" t="inlineStr">
        <is>
          <t>JÖNKÖPINGS LÄN</t>
        </is>
      </c>
      <c r="G305" t="inlineStr">
        <is>
          <t>NÄSSJÖ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46293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45794</v>
      </c>
      <c r="E307" s="1" t="n">
        <v>46293</v>
      </c>
      <c r="F307" t="inlineStr">
        <is>
          <t>JÖNKÖPINGS LÄN</t>
        </is>
      </c>
      <c r="G307" t="inlineStr">
        <is>
          <t>NÄSSJÖ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46293</v>
      </c>
      <c r="F308" t="inlineStr">
        <is>
          <t>JÖNKÖPINGS LÄN</t>
        </is>
      </c>
      <c r="G308" t="inlineStr">
        <is>
          <t>NÄSSJÖ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46293</v>
      </c>
      <c r="F309" t="inlineStr">
        <is>
          <t>JÖNKÖPINGS LÄN</t>
        </is>
      </c>
      <c r="G309" t="inlineStr">
        <is>
          <t>NÄSSJÖ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46293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45742</v>
      </c>
      <c r="E311" s="1" t="n">
        <v>46293</v>
      </c>
      <c r="F311" t="inlineStr">
        <is>
          <t>JÖNKÖPINGS LÄN</t>
        </is>
      </c>
      <c r="G311" t="inlineStr">
        <is>
          <t>NÄSSJÖ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45380</v>
      </c>
      <c r="E312" s="1" t="n">
        <v>46293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46293</v>
      </c>
      <c r="F313" t="inlineStr">
        <is>
          <t>JÖNKÖPINGS LÄN</t>
        </is>
      </c>
      <c r="G313" t="inlineStr">
        <is>
          <t>NÄSSJÖ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15862-2022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44664</v>
      </c>
      <c r="E314" s="1" t="n">
        <v>46293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45109</v>
      </c>
      <c r="E315" s="1" t="n">
        <v>46293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45732</v>
      </c>
      <c r="E316" s="1" t="n">
        <v>46293</v>
      </c>
      <c r="F316" t="inlineStr">
        <is>
          <t>JÖNKÖPINGS LÄN</t>
        </is>
      </c>
      <c r="G316" t="inlineStr">
        <is>
          <t>NÄSSJÖ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45391</v>
      </c>
      <c r="E317" s="1" t="n">
        <v>46293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46293</v>
      </c>
      <c r="F318" t="inlineStr">
        <is>
          <t>JÖNKÖPINGS LÄN</t>
        </is>
      </c>
      <c r="G318" t="inlineStr">
        <is>
          <t>NÄSSJÖ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46293</v>
      </c>
      <c r="F319" t="inlineStr">
        <is>
          <t>JÖNKÖPINGS LÄN</t>
        </is>
      </c>
      <c r="G319" t="inlineStr">
        <is>
          <t>NÄSSJÖ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45610</v>
      </c>
      <c r="E320" s="1" t="n">
        <v>46293</v>
      </c>
      <c r="F320" t="inlineStr">
        <is>
          <t>JÖNKÖPINGS LÄN</t>
        </is>
      </c>
      <c r="G320" t="inlineStr">
        <is>
          <t>NÄSSJÖ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45380</v>
      </c>
      <c r="E321" s="1" t="n">
        <v>46293</v>
      </c>
      <c r="F321" t="inlineStr">
        <is>
          <t>JÖNKÖPINGS LÄN</t>
        </is>
      </c>
      <c r="G321" t="inlineStr">
        <is>
          <t>NÄSSJÖ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46293</v>
      </c>
      <c r="F322" t="inlineStr">
        <is>
          <t>JÖNKÖPINGS LÄN</t>
        </is>
      </c>
      <c r="G322" t="inlineStr">
        <is>
          <t>NÄSSJÖ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45841</v>
      </c>
      <c r="E323" s="1" t="n">
        <v>46293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45843</v>
      </c>
      <c r="E324" s="1" t="n">
        <v>46293</v>
      </c>
      <c r="F324" t="inlineStr">
        <is>
          <t>JÖNKÖPINGS LÄN</t>
        </is>
      </c>
      <c r="G324" t="inlineStr">
        <is>
          <t>NÄSSJÖ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45843</v>
      </c>
      <c r="E325" s="1" t="n">
        <v>46293</v>
      </c>
      <c r="F325" t="inlineStr">
        <is>
          <t>JÖNKÖPINGS LÄN</t>
        </is>
      </c>
      <c r="G325" t="inlineStr">
        <is>
          <t>NÄSSJÖ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45843</v>
      </c>
      <c r="E326" s="1" t="n">
        <v>46293</v>
      </c>
      <c r="F326" t="inlineStr">
        <is>
          <t>JÖNKÖPINGS LÄN</t>
        </is>
      </c>
      <c r="G326" t="inlineStr">
        <is>
          <t>NÄSSJÖ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46293</v>
      </c>
      <c r="F327" t="inlineStr">
        <is>
          <t>JÖNKÖPINGS LÄN</t>
        </is>
      </c>
      <c r="G327" t="inlineStr">
        <is>
          <t>NÄSSJÖ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57918-2021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44487</v>
      </c>
      <c r="E328" s="1" t="n">
        <v>46293</v>
      </c>
      <c r="F328" t="inlineStr">
        <is>
          <t>JÖNKÖPINGS LÄN</t>
        </is>
      </c>
      <c r="G328" t="inlineStr">
        <is>
          <t>NÄSSJÖ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45791</v>
      </c>
      <c r="E329" s="1" t="n">
        <v>46293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15993-2022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44665</v>
      </c>
      <c r="E330" s="1" t="n">
        <v>46293</v>
      </c>
      <c r="F330" t="inlineStr">
        <is>
          <t>JÖNKÖPINGS LÄN</t>
        </is>
      </c>
      <c r="G330" t="inlineStr">
        <is>
          <t>NÄSSJÖ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46293</v>
      </c>
      <c r="F331" t="inlineStr">
        <is>
          <t>JÖNKÖPINGS LÄN</t>
        </is>
      </c>
      <c r="G331" t="inlineStr">
        <is>
          <t>NÄSSJÖ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46293</v>
      </c>
      <c r="F332" t="inlineStr">
        <is>
          <t>JÖNKÖPINGS LÄN</t>
        </is>
      </c>
      <c r="G332" t="inlineStr">
        <is>
          <t>NÄSSJÖ</t>
        </is>
      </c>
      <c r="H332" t="inlineStr">
        <is>
          <t>Kommuner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46293</v>
      </c>
      <c r="F333" t="inlineStr">
        <is>
          <t>JÖNKÖPINGS LÄN</t>
        </is>
      </c>
      <c r="G333" t="inlineStr">
        <is>
          <t>NÄSSJÖ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46293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45277</v>
      </c>
      <c r="E335" s="1" t="n">
        <v>46293</v>
      </c>
      <c r="F335" t="inlineStr">
        <is>
          <t>JÖNKÖPINGS LÄN</t>
        </is>
      </c>
      <c r="G335" t="inlineStr">
        <is>
          <t>NÄSSJÖ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9943-2025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45719</v>
      </c>
      <c r="E336" s="1" t="n">
        <v>46293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46293</v>
      </c>
      <c r="F337" t="inlineStr">
        <is>
          <t>JÖNKÖPINGS LÄN</t>
        </is>
      </c>
      <c r="G337" t="inlineStr">
        <is>
          <t>NÄSSJÖ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46293</v>
      </c>
      <c r="F338" t="inlineStr">
        <is>
          <t>JÖNKÖPINGS LÄN</t>
        </is>
      </c>
      <c r="G338" t="inlineStr">
        <is>
          <t>NÄSSJÖ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46293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46293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46293</v>
      </c>
      <c r="F341" t="inlineStr">
        <is>
          <t>JÖNKÖPINGS LÄN</t>
        </is>
      </c>
      <c r="G341" t="inlineStr">
        <is>
          <t>NÄSSJÖ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46293</v>
      </c>
      <c r="F342" t="inlineStr">
        <is>
          <t>JÖNKÖPINGS LÄN</t>
        </is>
      </c>
      <c r="G342" t="inlineStr">
        <is>
          <t>NÄSSJÖ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24873-2026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46174</v>
      </c>
      <c r="E343" s="1" t="n">
        <v>46293</v>
      </c>
      <c r="F343" t="inlineStr">
        <is>
          <t>JÖNKÖPINGS LÄN</t>
        </is>
      </c>
      <c r="G343" t="inlineStr">
        <is>
          <t>NÄSSJÖ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46293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46293</v>
      </c>
      <c r="F345" t="inlineStr">
        <is>
          <t>JÖNKÖPINGS LÄN</t>
        </is>
      </c>
      <c r="G345" t="inlineStr">
        <is>
          <t>NÄSSJÖ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63695-2023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46293</v>
      </c>
      <c r="F346" t="inlineStr">
        <is>
          <t>JÖNKÖPINGS LÄN</t>
        </is>
      </c>
      <c r="G346" t="inlineStr">
        <is>
          <t>NÄSSJÖ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46293</v>
      </c>
      <c r="F347" t="inlineStr">
        <is>
          <t>JÖNKÖPINGS LÄN</t>
        </is>
      </c>
      <c r="G347" t="inlineStr">
        <is>
          <t>NÄSSJÖ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46293</v>
      </c>
      <c r="F348" t="inlineStr">
        <is>
          <t>JÖNKÖPINGS LÄN</t>
        </is>
      </c>
      <c r="G348" t="inlineStr">
        <is>
          <t>NÄSSJÖ</t>
        </is>
      </c>
      <c r="H348" t="inlineStr">
        <is>
          <t>Sveaskog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46293</v>
      </c>
      <c r="F349" t="inlineStr">
        <is>
          <t>JÖNKÖPINGS LÄN</t>
        </is>
      </c>
      <c r="G349" t="inlineStr">
        <is>
          <t>NÄSSJÖ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46293</v>
      </c>
      <c r="F350" t="inlineStr">
        <is>
          <t>JÖNKÖPINGS LÄN</t>
        </is>
      </c>
      <c r="G350" t="inlineStr">
        <is>
          <t>NÄSSJÖ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46293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45760</v>
      </c>
      <c r="E352" s="1" t="n">
        <v>46293</v>
      </c>
      <c r="F352" t="inlineStr">
        <is>
          <t>JÖNKÖPINGS LÄN</t>
        </is>
      </c>
      <c r="G352" t="inlineStr">
        <is>
          <t>NÄSSJÖ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45259</v>
      </c>
      <c r="E353" s="1" t="n">
        <v>46293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46293</v>
      </c>
      <c r="F354" t="inlineStr">
        <is>
          <t>JÖNKÖPINGS LÄN</t>
        </is>
      </c>
      <c r="G354" t="inlineStr">
        <is>
          <t>NÄSSJÖ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45590</v>
      </c>
      <c r="E355" s="1" t="n">
        <v>46293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63630-2023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45275</v>
      </c>
      <c r="E356" s="1" t="n">
        <v>46293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45732</v>
      </c>
      <c r="E357" s="1" t="n">
        <v>46293</v>
      </c>
      <c r="F357" t="inlineStr">
        <is>
          <t>JÖNKÖPINGS LÄN</t>
        </is>
      </c>
      <c r="G357" t="inlineStr">
        <is>
          <t>NÄSSJÖ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45109</v>
      </c>
      <c r="E358" s="1" t="n">
        <v>46293</v>
      </c>
      <c r="F358" t="inlineStr">
        <is>
          <t>JÖNKÖPINGS LÄN</t>
        </is>
      </c>
      <c r="G358" t="inlineStr">
        <is>
          <t>NÄSSJÖ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45109</v>
      </c>
      <c r="E359" s="1" t="n">
        <v>46293</v>
      </c>
      <c r="F359" t="inlineStr">
        <is>
          <t>JÖNKÖPINGS LÄN</t>
        </is>
      </c>
      <c r="G359" t="inlineStr">
        <is>
          <t>NÄSSJÖ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45132</v>
      </c>
      <c r="E360" s="1" t="n">
        <v>46293</v>
      </c>
      <c r="F360" t="inlineStr">
        <is>
          <t>JÖNKÖPINGS LÄN</t>
        </is>
      </c>
      <c r="G360" t="inlineStr">
        <is>
          <t>NÄSSJÖ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44609</v>
      </c>
      <c r="E361" s="1" t="n">
        <v>46293</v>
      </c>
      <c r="F361" t="inlineStr">
        <is>
          <t>JÖNKÖPINGS LÄN</t>
        </is>
      </c>
      <c r="G361" t="inlineStr">
        <is>
          <t>NÄSSJÖ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46293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35967-2023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46293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46187</v>
      </c>
      <c r="E364" s="1" t="n">
        <v>46293</v>
      </c>
      <c r="F364" t="inlineStr">
        <is>
          <t>JÖNKÖPINGS LÄN</t>
        </is>
      </c>
      <c r="G364" t="inlineStr">
        <is>
          <t>NÄSSJÖ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46293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46187</v>
      </c>
      <c r="E366" s="1" t="n">
        <v>46293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46187</v>
      </c>
      <c r="E367" s="1" t="n">
        <v>46293</v>
      </c>
      <c r="F367" t="inlineStr">
        <is>
          <t>JÖNKÖPINGS LÄN</t>
        </is>
      </c>
      <c r="G367" t="inlineStr">
        <is>
          <t>NÄSSJÖ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63628-2023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45275</v>
      </c>
      <c r="E368" s="1" t="n">
        <v>46293</v>
      </c>
      <c r="F368" t="inlineStr">
        <is>
          <t>JÖNKÖPINGS LÄN</t>
        </is>
      </c>
      <c r="G368" t="inlineStr">
        <is>
          <t>NÄSSJÖ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45579</v>
      </c>
      <c r="E369" s="1" t="n">
        <v>46293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44766-2023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45190</v>
      </c>
      <c r="E370" s="1" t="n">
        <v>46293</v>
      </c>
      <c r="F370" t="inlineStr">
        <is>
          <t>JÖNKÖPINGS LÄN</t>
        </is>
      </c>
      <c r="G370" t="inlineStr">
        <is>
          <t>NÄSSJÖ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45446</v>
      </c>
      <c r="E371" s="1" t="n">
        <v>46293</v>
      </c>
      <c r="F371" t="inlineStr">
        <is>
          <t>JÖNKÖPINGS LÄN</t>
        </is>
      </c>
      <c r="G371" t="inlineStr">
        <is>
          <t>NÄSSJÖ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46293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46293</v>
      </c>
      <c r="F373" t="inlineStr">
        <is>
          <t>JÖNKÖPINGS LÄN</t>
        </is>
      </c>
      <c r="G373" t="inlineStr">
        <is>
          <t>NÄSSJÖ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45742</v>
      </c>
      <c r="E374" s="1" t="n">
        <v>46293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31172-2024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45503</v>
      </c>
      <c r="E375" s="1" t="n">
        <v>46293</v>
      </c>
      <c r="F375" t="inlineStr">
        <is>
          <t>JÖNKÖPINGS LÄN</t>
        </is>
      </c>
      <c r="G375" t="inlineStr">
        <is>
          <t>NÄSSJÖ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45118</v>
      </c>
      <c r="E376" s="1" t="n">
        <v>46293</v>
      </c>
      <c r="F376" t="inlineStr">
        <is>
          <t>JÖNKÖPINGS LÄN</t>
        </is>
      </c>
      <c r="G376" t="inlineStr">
        <is>
          <t>NÄSSJÖ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46293</v>
      </c>
      <c r="F377" t="inlineStr">
        <is>
          <t>JÖNKÖPINGS LÄN</t>
        </is>
      </c>
      <c r="G377" t="inlineStr">
        <is>
          <t>NÄSSJÖ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46293</v>
      </c>
      <c r="F378" t="inlineStr">
        <is>
          <t>JÖNKÖPINGS LÄN</t>
        </is>
      </c>
      <c r="G378" t="inlineStr">
        <is>
          <t>NÄSSJÖ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46293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28257-2026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46293</v>
      </c>
      <c r="F380" t="inlineStr">
        <is>
          <t>JÖNKÖPINGS LÄN</t>
        </is>
      </c>
      <c r="G380" t="inlineStr">
        <is>
          <t>NÄSSJÖ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46293</v>
      </c>
      <c r="F381" t="inlineStr">
        <is>
          <t>JÖNKÖPINGS LÄN</t>
        </is>
      </c>
      <c r="G381" t="inlineStr">
        <is>
          <t>NÄSSJÖ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46293</v>
      </c>
      <c r="F382" t="inlineStr">
        <is>
          <t>JÖNKÖPINGS LÄN</t>
        </is>
      </c>
      <c r="G382" t="inlineStr">
        <is>
          <t>NÄSSJÖ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46293</v>
      </c>
      <c r="F383" t="inlineStr">
        <is>
          <t>JÖNKÖPINGS LÄN</t>
        </is>
      </c>
      <c r="G383" t="inlineStr">
        <is>
          <t>NÄSSJÖ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46293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46293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46293</v>
      </c>
      <c r="F386" t="inlineStr">
        <is>
          <t>JÖNKÖPINGS LÄN</t>
        </is>
      </c>
      <c r="G386" t="inlineStr">
        <is>
          <t>NÄSSJÖ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46293</v>
      </c>
      <c r="F387" t="inlineStr">
        <is>
          <t>JÖNKÖPINGS LÄN</t>
        </is>
      </c>
      <c r="G387" t="inlineStr">
        <is>
          <t>NÄSSJÖ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46293</v>
      </c>
      <c r="F388" t="inlineStr">
        <is>
          <t>JÖNKÖPINGS LÄN</t>
        </is>
      </c>
      <c r="G388" t="inlineStr">
        <is>
          <t>NÄSSJÖ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46293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45881</v>
      </c>
      <c r="E390" s="1" t="n">
        <v>46293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46293</v>
      </c>
      <c r="F391" t="inlineStr">
        <is>
          <t>JÖNKÖPINGS LÄN</t>
        </is>
      </c>
      <c r="G391" t="inlineStr">
        <is>
          <t>NÄSSJÖ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46293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44594</v>
      </c>
      <c r="E393" s="1" t="n">
        <v>46293</v>
      </c>
      <c r="F393" t="inlineStr">
        <is>
          <t>JÖNKÖPINGS LÄN</t>
        </is>
      </c>
      <c r="G393" t="inlineStr">
        <is>
          <t>NÄSSJÖ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46293</v>
      </c>
      <c r="F394" t="inlineStr">
        <is>
          <t>JÖNKÖPINGS LÄN</t>
        </is>
      </c>
      <c r="G394" t="inlineStr">
        <is>
          <t>NÄSSJÖ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46293</v>
      </c>
      <c r="F395" t="inlineStr">
        <is>
          <t>JÖNKÖPINGS LÄN</t>
        </is>
      </c>
      <c r="G395" t="inlineStr">
        <is>
          <t>NÄSSJÖ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46293</v>
      </c>
      <c r="F396" t="inlineStr">
        <is>
          <t>JÖNKÖPINGS LÄN</t>
        </is>
      </c>
      <c r="G396" t="inlineStr">
        <is>
          <t>NÄSSJÖ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46293</v>
      </c>
      <c r="F397" t="inlineStr">
        <is>
          <t>JÖNKÖPINGS LÄN</t>
        </is>
      </c>
      <c r="G397" t="inlineStr">
        <is>
          <t>NÄSSJÖ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45601</v>
      </c>
      <c r="E398" s="1" t="n">
        <v>46293</v>
      </c>
      <c r="F398" t="inlineStr">
        <is>
          <t>JÖNKÖPINGS LÄN</t>
        </is>
      </c>
      <c r="G398" t="inlineStr">
        <is>
          <t>NÄSSJÖ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45162</v>
      </c>
      <c r="E399" s="1" t="n">
        <v>46293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45372</v>
      </c>
      <c r="E400" s="1" t="n">
        <v>46293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46293</v>
      </c>
      <c r="F401" t="inlineStr">
        <is>
          <t>JÖNKÖPINGS LÄN</t>
        </is>
      </c>
      <c r="G401" t="inlineStr">
        <is>
          <t>NÄSSJÖ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45372</v>
      </c>
      <c r="E402" s="1" t="n">
        <v>46293</v>
      </c>
      <c r="F402" t="inlineStr">
        <is>
          <t>JÖNKÖPINGS LÄN</t>
        </is>
      </c>
      <c r="G402" t="inlineStr">
        <is>
          <t>NÄSSJÖ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15819-2022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44664</v>
      </c>
      <c r="E403" s="1" t="n">
        <v>46293</v>
      </c>
      <c r="F403" t="inlineStr">
        <is>
          <t>JÖNKÖPINGS LÄN</t>
        </is>
      </c>
      <c r="G403" t="inlineStr">
        <is>
          <t>NÄSSJÖ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45611</v>
      </c>
      <c r="E404" s="1" t="n">
        <v>46293</v>
      </c>
      <c r="F404" t="inlineStr">
        <is>
          <t>JÖNKÖPINGS LÄN</t>
        </is>
      </c>
      <c r="G404" t="inlineStr">
        <is>
          <t>NÄSSJÖ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46293</v>
      </c>
      <c r="F405" t="inlineStr">
        <is>
          <t>JÖNKÖPINGS LÄN</t>
        </is>
      </c>
      <c r="G405" t="inlineStr">
        <is>
          <t>NÄSSJÖ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46293</v>
      </c>
      <c r="F406" t="inlineStr">
        <is>
          <t>JÖNKÖPINGS LÄN</t>
        </is>
      </c>
      <c r="G406" t="inlineStr">
        <is>
          <t>NÄSSJÖ</t>
        </is>
      </c>
      <c r="H406" t="inlineStr">
        <is>
          <t>Sveaskog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46293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46293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30382-2026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46209</v>
      </c>
      <c r="E409" s="1" t="n">
        <v>46293</v>
      </c>
      <c r="F409" t="inlineStr">
        <is>
          <t>JÖNKÖPINGS LÄN</t>
        </is>
      </c>
      <c r="G409" t="inlineStr">
        <is>
          <t>NÄSSJÖ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46293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46293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5970-2025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45695</v>
      </c>
      <c r="E412" s="1" t="n">
        <v>46293</v>
      </c>
      <c r="F412" t="inlineStr">
        <is>
          <t>JÖNKÖPINGS LÄN</t>
        </is>
      </c>
      <c r="G412" t="inlineStr">
        <is>
          <t>NÄSSJÖ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46293</v>
      </c>
      <c r="F413" t="inlineStr">
        <is>
          <t>JÖNKÖPINGS LÄN</t>
        </is>
      </c>
      <c r="G413" t="inlineStr">
        <is>
          <t>NÄSSJÖ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45685</v>
      </c>
      <c r="E414" s="1" t="n">
        <v>46293</v>
      </c>
      <c r="F414" t="inlineStr">
        <is>
          <t>JÖNKÖPINGS LÄN</t>
        </is>
      </c>
      <c r="G414" t="inlineStr">
        <is>
          <t>NÄSSJÖ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45083</v>
      </c>
      <c r="E415" s="1" t="n">
        <v>46293</v>
      </c>
      <c r="F415" t="inlineStr">
        <is>
          <t>JÖNKÖPINGS LÄN</t>
        </is>
      </c>
      <c r="G415" t="inlineStr">
        <is>
          <t>NÄSSJÖ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46258</v>
      </c>
      <c r="E416" s="1" t="n">
        <v>46293</v>
      </c>
      <c r="F416" t="inlineStr">
        <is>
          <t>JÖNKÖPINGS LÄN</t>
        </is>
      </c>
      <c r="G416" t="inlineStr">
        <is>
          <t>NÄSSJÖ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45702</v>
      </c>
      <c r="E417" s="1" t="n">
        <v>46293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46293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46293</v>
      </c>
      <c r="F419" t="inlineStr">
        <is>
          <t>JÖNKÖPINGS LÄN</t>
        </is>
      </c>
      <c r="G419" t="inlineStr">
        <is>
          <t>NÄSSJÖ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45720</v>
      </c>
      <c r="E420" s="1" t="n">
        <v>46293</v>
      </c>
      <c r="F420" t="inlineStr">
        <is>
          <t>JÖNKÖPINGS LÄN</t>
        </is>
      </c>
      <c r="G420" t="inlineStr">
        <is>
          <t>NÄSSJÖ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46293</v>
      </c>
      <c r="F421" t="inlineStr">
        <is>
          <t>JÖNKÖPINGS LÄN</t>
        </is>
      </c>
      <c r="G421" t="inlineStr">
        <is>
          <t>NÄSSJÖ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35246-2026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46293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44776</v>
      </c>
      <c r="E423" s="1" t="n">
        <v>46293</v>
      </c>
      <c r="F423" t="inlineStr">
        <is>
          <t>JÖNKÖPINGS LÄN</t>
        </is>
      </c>
      <c r="G423" t="inlineStr">
        <is>
          <t>NÄSSJÖ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45187</v>
      </c>
      <c r="E424" s="1" t="n">
        <v>46293</v>
      </c>
      <c r="F424" t="inlineStr">
        <is>
          <t>JÖNKÖPINGS LÄN</t>
        </is>
      </c>
      <c r="G424" t="inlineStr">
        <is>
          <t>NÄSSJÖ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44360-2023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45188</v>
      </c>
      <c r="E425" s="1" t="n">
        <v>46293</v>
      </c>
      <c r="F425" t="inlineStr">
        <is>
          <t>JÖNKÖPINGS LÄN</t>
        </is>
      </c>
      <c r="G425" t="inlineStr">
        <is>
          <t>NÄSSJÖ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44151-2023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46293</v>
      </c>
      <c r="F426" t="inlineStr">
        <is>
          <t>JÖNKÖPINGS LÄN</t>
        </is>
      </c>
      <c r="G426" t="inlineStr">
        <is>
          <t>NÄSSJÖ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46293</v>
      </c>
      <c r="F427" t="inlineStr">
        <is>
          <t>JÖNKÖPINGS LÄN</t>
        </is>
      </c>
      <c r="G427" t="inlineStr">
        <is>
          <t>NÄSSJÖ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45189</v>
      </c>
      <c r="E428" s="1" t="n">
        <v>46293</v>
      </c>
      <c r="F428" t="inlineStr">
        <is>
          <t>JÖNKÖPINGS LÄN</t>
        </is>
      </c>
      <c r="G428" t="inlineStr">
        <is>
          <t>NÄSSJÖ</t>
        </is>
      </c>
      <c r="I428" t="n">
        <v>11.8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46293</v>
      </c>
      <c r="F429" t="inlineStr">
        <is>
          <t>JÖNKÖPINGS LÄN</t>
        </is>
      </c>
      <c r="G429" t="inlineStr">
        <is>
          <t>NÄSSJÖ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45695</v>
      </c>
      <c r="E430" s="1" t="n">
        <v>46293</v>
      </c>
      <c r="F430" t="inlineStr">
        <is>
          <t>JÖNKÖPINGS LÄN</t>
        </is>
      </c>
      <c r="G430" t="inlineStr">
        <is>
          <t>NÄSSJÖ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60463-2023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45259</v>
      </c>
      <c r="E431" s="1" t="n">
        <v>46293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45169</v>
      </c>
      <c r="E432" s="1" t="n">
        <v>46293</v>
      </c>
      <c r="F432" t="inlineStr">
        <is>
          <t>JÖNKÖPINGS LÄN</t>
        </is>
      </c>
      <c r="G432" t="inlineStr">
        <is>
          <t>NÄSSJÖ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46293</v>
      </c>
      <c r="F433" t="inlineStr">
        <is>
          <t>JÖNKÖPINGS LÄN</t>
        </is>
      </c>
      <c r="G433" t="inlineStr">
        <is>
          <t>NÄSSJÖ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45734</v>
      </c>
      <c r="E434" s="1" t="n">
        <v>46293</v>
      </c>
      <c r="F434" t="inlineStr">
        <is>
          <t>JÖNKÖPINGS LÄN</t>
        </is>
      </c>
      <c r="G434" t="inlineStr">
        <is>
          <t>NÄSSJÖ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45302</v>
      </c>
      <c r="E435" s="1" t="n">
        <v>46293</v>
      </c>
      <c r="F435" t="inlineStr">
        <is>
          <t>JÖNKÖPINGS LÄN</t>
        </is>
      </c>
      <c r="G435" t="inlineStr">
        <is>
          <t>NÄSSJÖ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45245</v>
      </c>
      <c r="E436" s="1" t="n">
        <v>46293</v>
      </c>
      <c r="F436" t="inlineStr">
        <is>
          <t>JÖNKÖPINGS LÄN</t>
        </is>
      </c>
      <c r="G436" t="inlineStr">
        <is>
          <t>NÄSSJÖ</t>
        </is>
      </c>
      <c r="H436" t="inlineStr">
        <is>
          <t>Kommuner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46293</v>
      </c>
      <c r="F437" t="inlineStr">
        <is>
          <t>JÖNKÖPINGS LÄN</t>
        </is>
      </c>
      <c r="G437" t="inlineStr">
        <is>
          <t>NÄSSJÖ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46293</v>
      </c>
      <c r="F438" t="inlineStr">
        <is>
          <t>JÖNKÖPINGS LÄN</t>
        </is>
      </c>
      <c r="G438" t="inlineStr">
        <is>
          <t>NÄSSJÖ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45219</v>
      </c>
      <c r="E439" s="1" t="n">
        <v>46293</v>
      </c>
      <c r="F439" t="inlineStr">
        <is>
          <t>JÖNKÖPINGS LÄN</t>
        </is>
      </c>
      <c r="G439" t="inlineStr">
        <is>
          <t>NÄSSJÖ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46293</v>
      </c>
      <c r="F440" t="inlineStr">
        <is>
          <t>JÖNKÖPINGS LÄN</t>
        </is>
      </c>
      <c r="G440" t="inlineStr">
        <is>
          <t>NÄSSJÖ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3259-2024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46293</v>
      </c>
      <c r="F441" t="inlineStr">
        <is>
          <t>JÖNKÖPINGS LÄN</t>
        </is>
      </c>
      <c r="G441" t="inlineStr">
        <is>
          <t>NÄSSJÖ</t>
        </is>
      </c>
      <c r="H441" t="inlineStr">
        <is>
          <t>Kyrkan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45361</v>
      </c>
      <c r="E442" s="1" t="n">
        <v>46293</v>
      </c>
      <c r="F442" t="inlineStr">
        <is>
          <t>JÖNKÖPINGS LÄN</t>
        </is>
      </c>
      <c r="G442" t="inlineStr">
        <is>
          <t>NÄSSJÖ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46293</v>
      </c>
      <c r="F443" t="inlineStr">
        <is>
          <t>JÖNKÖPINGS LÄN</t>
        </is>
      </c>
      <c r="G443" t="inlineStr">
        <is>
          <t>NÄSSJÖ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49878-2023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45213</v>
      </c>
      <c r="E444" s="1" t="n">
        <v>46293</v>
      </c>
      <c r="F444" t="inlineStr">
        <is>
          <t>JÖNKÖPINGS LÄN</t>
        </is>
      </c>
      <c r="G444" t="inlineStr">
        <is>
          <t>NÄSSJÖ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45734</v>
      </c>
      <c r="E445" s="1" t="n">
        <v>46293</v>
      </c>
      <c r="F445" t="inlineStr">
        <is>
          <t>JÖNKÖPINGS LÄN</t>
        </is>
      </c>
      <c r="G445" t="inlineStr">
        <is>
          <t>NÄSSJÖ</t>
        </is>
      </c>
      <c r="I445" t="n">
        <v>8.699999999999999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46293</v>
      </c>
      <c r="F446" t="inlineStr">
        <is>
          <t>JÖNKÖPINGS LÄN</t>
        </is>
      </c>
      <c r="G446" t="inlineStr">
        <is>
          <t>NÄSSJÖ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46293</v>
      </c>
      <c r="F447" t="inlineStr">
        <is>
          <t>JÖNKÖPINGS LÄN</t>
        </is>
      </c>
      <c r="G447" t="inlineStr">
        <is>
          <t>NÄSSJÖ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44874</v>
      </c>
      <c r="E448" s="1" t="n">
        <v>46293</v>
      </c>
      <c r="F448" t="inlineStr">
        <is>
          <t>JÖNKÖPINGS LÄN</t>
        </is>
      </c>
      <c r="G448" t="inlineStr">
        <is>
          <t>NÄSSJÖ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45259</v>
      </c>
      <c r="E449" s="1" t="n">
        <v>46293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45009</v>
      </c>
      <c r="E450" s="1" t="n">
        <v>46293</v>
      </c>
      <c r="F450" t="inlineStr">
        <is>
          <t>JÖNKÖPINGS LÄN</t>
        </is>
      </c>
      <c r="G450" t="inlineStr">
        <is>
          <t>NÄSSJÖ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45264</v>
      </c>
      <c r="E451" s="1" t="n">
        <v>46293</v>
      </c>
      <c r="F451" t="inlineStr">
        <is>
          <t>JÖNKÖPINGS LÄN</t>
        </is>
      </c>
      <c r="G451" t="inlineStr">
        <is>
          <t>NÄSSJÖ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46293</v>
      </c>
      <c r="F452" t="inlineStr">
        <is>
          <t>JÖNKÖPINGS LÄN</t>
        </is>
      </c>
      <c r="G452" t="inlineStr">
        <is>
          <t>NÄSSJÖ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45328</v>
      </c>
      <c r="E453" s="1" t="n">
        <v>46293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45488</v>
      </c>
      <c r="E454" s="1" t="n">
        <v>46293</v>
      </c>
      <c r="F454" t="inlineStr">
        <is>
          <t>JÖNKÖPINGS LÄN</t>
        </is>
      </c>
      <c r="G454" t="inlineStr">
        <is>
          <t>NÄSSJÖ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46293</v>
      </c>
      <c r="F455" t="inlineStr">
        <is>
          <t>JÖNKÖPINGS LÄN</t>
        </is>
      </c>
      <c r="G455" t="inlineStr">
        <is>
          <t>NÄSSJÖ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46293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46282</v>
      </c>
      <c r="E457" s="1" t="n">
        <v>46293</v>
      </c>
      <c r="F457" t="inlineStr">
        <is>
          <t>JÖNKÖPINGS LÄN</t>
        </is>
      </c>
      <c r="G457" t="inlineStr">
        <is>
          <t>NÄSSJÖ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46283</v>
      </c>
      <c r="E458" s="1" t="n">
        <v>46293</v>
      </c>
      <c r="F458" t="inlineStr">
        <is>
          <t>JÖNKÖPINGS LÄN</t>
        </is>
      </c>
      <c r="G458" t="inlineStr">
        <is>
          <t>NÄSSJÖ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44984</v>
      </c>
      <c r="E459" s="1" t="n">
        <v>46293</v>
      </c>
      <c r="F459" t="inlineStr">
        <is>
          <t>JÖNKÖPINGS LÄN</t>
        </is>
      </c>
      <c r="G459" t="inlineStr">
        <is>
          <t>NÄSSJÖ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46283</v>
      </c>
      <c r="E460" s="1" t="n">
        <v>46293</v>
      </c>
      <c r="F460" t="inlineStr">
        <is>
          <t>JÖNKÖPINGS LÄN</t>
        </is>
      </c>
      <c r="G460" t="inlineStr">
        <is>
          <t>NÄSSJÖ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46243</v>
      </c>
      <c r="E461" s="1" t="n">
        <v>46293</v>
      </c>
      <c r="F461" t="inlineStr">
        <is>
          <t>JÖNKÖPINGS LÄN</t>
        </is>
      </c>
      <c r="G461" t="inlineStr">
        <is>
          <t>NÄSSJÖ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46293</v>
      </c>
      <c r="F462" t="inlineStr">
        <is>
          <t>JÖNKÖPINGS LÄN</t>
        </is>
      </c>
      <c r="G462" t="inlineStr">
        <is>
          <t>NÄSSJÖ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45693</v>
      </c>
      <c r="E463" s="1" t="n">
        <v>46293</v>
      </c>
      <c r="F463" t="inlineStr">
        <is>
          <t>JÖNKÖPINGS LÄN</t>
        </is>
      </c>
      <c r="G463" t="inlineStr">
        <is>
          <t>NÄSSJÖ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46243</v>
      </c>
      <c r="E464" s="1" t="n">
        <v>46293</v>
      </c>
      <c r="F464" t="inlineStr">
        <is>
          <t>JÖNKÖPINGS LÄN</t>
        </is>
      </c>
      <c r="G464" t="inlineStr">
        <is>
          <t>NÄSSJÖ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46283</v>
      </c>
      <c r="E465" s="1" t="n">
        <v>46293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32824-2026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46243</v>
      </c>
      <c r="E466" s="1" t="n">
        <v>46293</v>
      </c>
      <c r="F466" t="inlineStr">
        <is>
          <t>JÖNKÖPINGS LÄN</t>
        </is>
      </c>
      <c r="G466" t="inlineStr">
        <is>
          <t>NÄSSJÖ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46243</v>
      </c>
      <c r="E467" s="1" t="n">
        <v>46293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46243</v>
      </c>
      <c r="E468" s="1" t="n">
        <v>46293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53960-2022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44881</v>
      </c>
      <c r="E469" s="1" t="n">
        <v>46293</v>
      </c>
      <c r="F469" t="inlineStr">
        <is>
          <t>JÖNKÖPINGS LÄN</t>
        </is>
      </c>
      <c r="G469" t="inlineStr">
        <is>
          <t>NÄSSJÖ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46293</v>
      </c>
      <c r="F470" t="inlineStr">
        <is>
          <t>JÖNKÖPINGS LÄN</t>
        </is>
      </c>
      <c r="G470" t="inlineStr">
        <is>
          <t>NÄSSJÖ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46283</v>
      </c>
      <c r="E471" s="1" t="n">
        <v>46293</v>
      </c>
      <c r="F471" t="inlineStr">
        <is>
          <t>JÖNKÖPINGS LÄN</t>
        </is>
      </c>
      <c r="G471" t="inlineStr">
        <is>
          <t>NÄSSJÖ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45551</v>
      </c>
      <c r="E472" s="1" t="n">
        <v>46293</v>
      </c>
      <c r="F472" t="inlineStr">
        <is>
          <t>JÖNKÖPINGS LÄN</t>
        </is>
      </c>
      <c r="G472" t="inlineStr">
        <is>
          <t>NÄSSJÖ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39095-2026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46283</v>
      </c>
      <c r="E473" s="1" t="n">
        <v>46293</v>
      </c>
      <c r="F473" t="inlineStr">
        <is>
          <t>JÖNKÖPINGS LÄN</t>
        </is>
      </c>
      <c r="G473" t="inlineStr">
        <is>
          <t>NÄSSJÖ</t>
        </is>
      </c>
      <c r="H473" t="inlineStr">
        <is>
          <t>Kyrkan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46293</v>
      </c>
      <c r="F474" t="inlineStr">
        <is>
          <t>JÖNKÖPINGS LÄN</t>
        </is>
      </c>
      <c r="G474" t="inlineStr">
        <is>
          <t>NÄSSJÖ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44902</v>
      </c>
      <c r="E475" s="1" t="n">
        <v>46293</v>
      </c>
      <c r="F475" t="inlineStr">
        <is>
          <t>JÖNKÖPINGS LÄN</t>
        </is>
      </c>
      <c r="G475" t="inlineStr">
        <is>
          <t>NÄSSJÖ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44603</v>
      </c>
      <c r="E476" s="1" t="n">
        <v>46293</v>
      </c>
      <c r="F476" t="inlineStr">
        <is>
          <t>JÖNKÖPINGS LÄN</t>
        </is>
      </c>
      <c r="G476" t="inlineStr">
        <is>
          <t>NÄSSJÖ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46293</v>
      </c>
      <c r="F477" t="inlineStr">
        <is>
          <t>JÖNKÖPINGS LÄN</t>
        </is>
      </c>
      <c r="G477" t="inlineStr">
        <is>
          <t>NÄSSJÖ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71606-2021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44541</v>
      </c>
      <c r="E478" s="1" t="n">
        <v>46293</v>
      </c>
      <c r="F478" t="inlineStr">
        <is>
          <t>JÖNKÖPINGS LÄN</t>
        </is>
      </c>
      <c r="G478" t="inlineStr">
        <is>
          <t>NÄSSJÖ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39211-2026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46287</v>
      </c>
      <c r="E479" s="1" t="n">
        <v>46293</v>
      </c>
      <c r="F479" t="inlineStr">
        <is>
          <t>JÖNKÖPINGS LÄN</t>
        </is>
      </c>
      <c r="G479" t="inlineStr">
        <is>
          <t>NÄSSJÖ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46293</v>
      </c>
      <c r="F480" t="inlineStr">
        <is>
          <t>JÖNKÖPINGS LÄN</t>
        </is>
      </c>
      <c r="G480" t="inlineStr">
        <is>
          <t>NÄSSJÖ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46293</v>
      </c>
      <c r="F481" t="inlineStr">
        <is>
          <t>JÖNKÖPINGS LÄN</t>
        </is>
      </c>
      <c r="G481" t="inlineStr">
        <is>
          <t>NÄSSJÖ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46290</v>
      </c>
      <c r="E482" s="1" t="n">
        <v>46293</v>
      </c>
      <c r="F482" t="inlineStr">
        <is>
          <t>JÖNKÖPINGS LÄN</t>
        </is>
      </c>
      <c r="G482" t="inlineStr">
        <is>
          <t>NÄSSJÖ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15620-2024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45402</v>
      </c>
      <c r="E483" s="1" t="n">
        <v>46293</v>
      </c>
      <c r="F483" t="inlineStr">
        <is>
          <t>JÖNKÖPINGS LÄN</t>
        </is>
      </c>
      <c r="G483" t="inlineStr">
        <is>
          <t>NÄSSJÖ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46246</v>
      </c>
      <c r="E484" s="1" t="n">
        <v>46293</v>
      </c>
      <c r="F484" t="inlineStr">
        <is>
          <t>JÖNKÖPINGS LÄN</t>
        </is>
      </c>
      <c r="G484" t="inlineStr">
        <is>
          <t>NÄSSJÖ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45184</v>
      </c>
      <c r="E485" s="1" t="n">
        <v>46293</v>
      </c>
      <c r="F485" t="inlineStr">
        <is>
          <t>JÖNKÖPINGS LÄN</t>
        </is>
      </c>
      <c r="G485" t="inlineStr">
        <is>
          <t>NÄSSJÖ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45091</v>
      </c>
      <c r="E486" s="1" t="n">
        <v>46293</v>
      </c>
      <c r="F486" t="inlineStr">
        <is>
          <t>JÖNKÖPINGS LÄN</t>
        </is>
      </c>
      <c r="G486" t="inlineStr">
        <is>
          <t>NÄSSJÖ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46293</v>
      </c>
      <c r="F487" t="inlineStr">
        <is>
          <t>JÖNKÖPINGS LÄN</t>
        </is>
      </c>
      <c r="G487" t="inlineStr">
        <is>
          <t>NÄSSJÖ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45412</v>
      </c>
      <c r="E488" s="1" t="n">
        <v>46293</v>
      </c>
      <c r="F488" t="inlineStr">
        <is>
          <t>JÖNKÖPINGS LÄN</t>
        </is>
      </c>
      <c r="G488" t="inlineStr">
        <is>
          <t>NÄSSJÖ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39732-2026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46293</v>
      </c>
      <c r="F489" t="inlineStr">
        <is>
          <t>JÖNKÖPINGS LÄN</t>
        </is>
      </c>
      <c r="G489" t="inlineStr">
        <is>
          <t>NÄSSJÖ</t>
        </is>
      </c>
      <c r="H489" t="inlineStr">
        <is>
          <t>Kyrkan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46289</v>
      </c>
      <c r="E490" s="1" t="n">
        <v>46293</v>
      </c>
      <c r="F490" t="inlineStr">
        <is>
          <t>JÖNKÖPINGS LÄN</t>
        </is>
      </c>
      <c r="G490" t="inlineStr">
        <is>
          <t>NÄSSJÖ</t>
        </is>
      </c>
      <c r="H490" t="inlineStr">
        <is>
          <t>Kyrkan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46293</v>
      </c>
      <c r="F491" t="inlineStr">
        <is>
          <t>JÖNKÖPINGS LÄN</t>
        </is>
      </c>
      <c r="G491" t="inlineStr">
        <is>
          <t>NÄSSJÖ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45343</v>
      </c>
      <c r="E492" s="1" t="n">
        <v>46293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45270</v>
      </c>
      <c r="E493" s="1" t="n">
        <v>46293</v>
      </c>
      <c r="F493" t="inlineStr">
        <is>
          <t>JÖNKÖPINGS LÄN</t>
        </is>
      </c>
      <c r="G493" t="inlineStr">
        <is>
          <t>NÄSSJÖ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45595</v>
      </c>
      <c r="E494" s="1" t="n">
        <v>46293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51374-2024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45604</v>
      </c>
      <c r="E495" s="1" t="n">
        <v>46293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61545-2022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44916</v>
      </c>
      <c r="E496" s="1" t="n">
        <v>46293</v>
      </c>
      <c r="F496" t="inlineStr">
        <is>
          <t>JÖNKÖPINGS LÄN</t>
        </is>
      </c>
      <c r="G496" t="inlineStr">
        <is>
          <t>NÄSSJÖ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52250-2022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44873</v>
      </c>
      <c r="E497" s="1" t="n">
        <v>46293</v>
      </c>
      <c r="F497" t="inlineStr">
        <is>
          <t>JÖNKÖPINGS LÄN</t>
        </is>
      </c>
      <c r="G497" t="inlineStr">
        <is>
          <t>NÄSSJÖ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46293</v>
      </c>
      <c r="F498" t="inlineStr">
        <is>
          <t>JÖNKÖPINGS LÄN</t>
        </is>
      </c>
      <c r="G498" t="inlineStr">
        <is>
          <t>NÄSSJÖ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45069</v>
      </c>
      <c r="E499" s="1" t="n">
        <v>46293</v>
      </c>
      <c r="F499" t="inlineStr">
        <is>
          <t>JÖNKÖPINGS LÄN</t>
        </is>
      </c>
      <c r="G499" t="inlineStr">
        <is>
          <t>NÄSSJÖ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45277</v>
      </c>
      <c r="E500" s="1" t="n">
        <v>46293</v>
      </c>
      <c r="F500" t="inlineStr">
        <is>
          <t>JÖNKÖPINGS LÄN</t>
        </is>
      </c>
      <c r="G500" t="inlineStr">
        <is>
          <t>NÄSSJÖ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44976</v>
      </c>
      <c r="E501" s="1" t="n">
        <v>46293</v>
      </c>
      <c r="F501" t="inlineStr">
        <is>
          <t>JÖNKÖPINGS LÄN</t>
        </is>
      </c>
      <c r="G501" t="inlineStr">
        <is>
          <t>NÄSSJÖ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44980</v>
      </c>
      <c r="E502" s="1" t="n">
        <v>46293</v>
      </c>
      <c r="F502" t="inlineStr">
        <is>
          <t>JÖNKÖPINGS LÄN</t>
        </is>
      </c>
      <c r="G502" t="inlineStr">
        <is>
          <t>NÄSSJÖ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57627-2021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44484</v>
      </c>
      <c r="E503" s="1" t="n">
        <v>46293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45154</v>
      </c>
      <c r="E504" s="1" t="n">
        <v>46293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45021</v>
      </c>
      <c r="E505" s="1" t="n">
        <v>46293</v>
      </c>
      <c r="F505" t="inlineStr">
        <is>
          <t>JÖNKÖPINGS LÄN</t>
        </is>
      </c>
      <c r="G505" t="inlineStr">
        <is>
          <t>NÄSSJÖ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46293</v>
      </c>
      <c r="F506" t="inlineStr">
        <is>
          <t>JÖNKÖPINGS LÄN</t>
        </is>
      </c>
      <c r="G506" t="inlineStr">
        <is>
          <t>NÄSSJÖ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45302</v>
      </c>
      <c r="E507" s="1" t="n">
        <v>46293</v>
      </c>
      <c r="F507" t="inlineStr">
        <is>
          <t>JÖNKÖPINGS LÄN</t>
        </is>
      </c>
      <c r="G507" t="inlineStr">
        <is>
          <t>NÄSSJÖ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46293</v>
      </c>
      <c r="F508" t="inlineStr">
        <is>
          <t>JÖNKÖPINGS LÄN</t>
        </is>
      </c>
      <c r="G508" t="inlineStr">
        <is>
          <t>NÄSSJÖ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46293</v>
      </c>
      <c r="F509" t="inlineStr">
        <is>
          <t>JÖNKÖPINGS LÄN</t>
        </is>
      </c>
      <c r="G509" t="inlineStr">
        <is>
          <t>NÄSSJÖ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46293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44902</v>
      </c>
      <c r="E511" s="1" t="n">
        <v>46293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45412</v>
      </c>
      <c r="E512" s="1" t="n">
        <v>46293</v>
      </c>
      <c r="F512" t="inlineStr">
        <is>
          <t>JÖNKÖPINGS LÄN</t>
        </is>
      </c>
      <c r="G512" t="inlineStr">
        <is>
          <t>NÄSSJÖ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46293</v>
      </c>
      <c r="F513" t="inlineStr">
        <is>
          <t>JÖNKÖPINGS LÄN</t>
        </is>
      </c>
      <c r="G513" t="inlineStr">
        <is>
          <t>NÄSSJÖ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43923-2023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46293</v>
      </c>
      <c r="F514" t="inlineStr">
        <is>
          <t>JÖNKÖPINGS LÄN</t>
        </is>
      </c>
      <c r="G514" t="inlineStr">
        <is>
          <t>NÄSSJÖ</t>
        </is>
      </c>
      <c r="H514" t="inlineStr">
        <is>
          <t>Övriga Aktiebolag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45454</v>
      </c>
      <c r="E515" s="1" t="n">
        <v>46293</v>
      </c>
      <c r="F515" t="inlineStr">
        <is>
          <t>JÖNKÖPINGS LÄN</t>
        </is>
      </c>
      <c r="G515" t="inlineStr">
        <is>
          <t>NÄSSJÖ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44564</v>
      </c>
      <c r="E516" s="1" t="n">
        <v>46293</v>
      </c>
      <c r="F516" t="inlineStr">
        <is>
          <t>JÖNKÖPINGS LÄN</t>
        </is>
      </c>
      <c r="G516" t="inlineStr">
        <is>
          <t>NÄSSJÖ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45303</v>
      </c>
      <c r="E517" s="1" t="n">
        <v>46293</v>
      </c>
      <c r="F517" t="inlineStr">
        <is>
          <t>JÖNKÖPINGS LÄN</t>
        </is>
      </c>
      <c r="G517" t="inlineStr">
        <is>
          <t>NÄSSJÖ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45460</v>
      </c>
      <c r="E518" s="1" t="n">
        <v>46293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46293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28340-2023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45099</v>
      </c>
      <c r="E520" s="1" t="n">
        <v>46293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44873</v>
      </c>
      <c r="E521" s="1" t="n">
        <v>46293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53636-2024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45614</v>
      </c>
      <c r="E522" s="1" t="n">
        <v>46293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50734-2024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45602</v>
      </c>
      <c r="E523" s="1" t="n">
        <v>46293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45680</v>
      </c>
      <c r="E524" s="1" t="n">
        <v>46293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54381-2024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45617</v>
      </c>
      <c r="E525" s="1" t="n">
        <v>46293</v>
      </c>
      <c r="F525" t="inlineStr">
        <is>
          <t>JÖNKÖPINGS LÄN</t>
        </is>
      </c>
      <c r="G525" t="inlineStr">
        <is>
          <t>NÄSSJÖ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15325-2022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44659</v>
      </c>
      <c r="E526" s="1" t="n">
        <v>46293</v>
      </c>
      <c r="F526" t="inlineStr">
        <is>
          <t>JÖNKÖPINGS LÄN</t>
        </is>
      </c>
      <c r="G526" t="inlineStr">
        <is>
          <t>NÄSSJÖ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45008</v>
      </c>
      <c r="E527" s="1" t="n">
        <v>46293</v>
      </c>
      <c r="F527" t="inlineStr">
        <is>
          <t>JÖNKÖPINGS LÄN</t>
        </is>
      </c>
      <c r="G527" t="inlineStr">
        <is>
          <t>NÄSSJÖ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45566</v>
      </c>
      <c r="E528" s="1" t="n">
        <v>46293</v>
      </c>
      <c r="F528" t="inlineStr">
        <is>
          <t>JÖNKÖPINGS LÄN</t>
        </is>
      </c>
      <c r="G528" t="inlineStr">
        <is>
          <t>NÄSSJÖ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19186-2023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45046</v>
      </c>
      <c r="E529" s="1" t="n">
        <v>46293</v>
      </c>
      <c r="F529" t="inlineStr">
        <is>
          <t>JÖNKÖPINGS LÄN</t>
        </is>
      </c>
      <c r="G529" t="inlineStr">
        <is>
          <t>NÄSSJÖ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45236</v>
      </c>
      <c r="E530" s="1" t="n">
        <v>46293</v>
      </c>
      <c r="F530" t="inlineStr">
        <is>
          <t>JÖNKÖPINGS LÄN</t>
        </is>
      </c>
      <c r="G530" t="inlineStr">
        <is>
          <t>NÄSSJÖ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42751-2023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45181</v>
      </c>
      <c r="E531" s="1" t="n">
        <v>46293</v>
      </c>
      <c r="F531" t="inlineStr">
        <is>
          <t>JÖNKÖPINGS LÄN</t>
        </is>
      </c>
      <c r="G531" t="inlineStr">
        <is>
          <t>NÄSSJÖ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20356-2023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45056</v>
      </c>
      <c r="E532" s="1" t="n">
        <v>46293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7357-2025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45704</v>
      </c>
      <c r="E533" s="1" t="n">
        <v>46293</v>
      </c>
      <c r="F533" t="inlineStr">
        <is>
          <t>JÖNKÖPINGS LÄN</t>
        </is>
      </c>
      <c r="G533" t="inlineStr">
        <is>
          <t>NÄSSJÖ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46293</v>
      </c>
      <c r="F534" t="inlineStr">
        <is>
          <t>JÖNKÖPINGS LÄN</t>
        </is>
      </c>
      <c r="G534" t="inlineStr">
        <is>
          <t>NÄSSJÖ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45257</v>
      </c>
      <c r="E535" s="1" t="n">
        <v>46293</v>
      </c>
      <c r="F535" t="inlineStr">
        <is>
          <t>JÖNKÖPINGS LÄN</t>
        </is>
      </c>
      <c r="G535" t="inlineStr">
        <is>
          <t>NÄSSJÖ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46293</v>
      </c>
      <c r="F536" t="inlineStr">
        <is>
          <t>JÖNKÖPINGS LÄN</t>
        </is>
      </c>
      <c r="G536" t="inlineStr">
        <is>
          <t>NÄSSJÖ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45448</v>
      </c>
      <c r="E537" s="1" t="n">
        <v>46293</v>
      </c>
      <c r="F537" t="inlineStr">
        <is>
          <t>JÖNKÖPINGS LÄN</t>
        </is>
      </c>
      <c r="G537" t="inlineStr">
        <is>
          <t>NÄSSJÖ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45756</v>
      </c>
      <c r="E538" s="1" t="n">
        <v>46293</v>
      </c>
      <c r="F538" t="inlineStr">
        <is>
          <t>JÖNKÖPINGS LÄN</t>
        </is>
      </c>
      <c r="G538" t="inlineStr">
        <is>
          <t>NÄSSJÖ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45365</v>
      </c>
      <c r="E539" s="1" t="n">
        <v>46293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60838-2024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45644</v>
      </c>
      <c r="E540" s="1" t="n">
        <v>46293</v>
      </c>
      <c r="F540" t="inlineStr">
        <is>
          <t>JÖNKÖPINGS LÄN</t>
        </is>
      </c>
      <c r="G540" t="inlineStr">
        <is>
          <t>NÄSSJÖ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56411-2024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45625</v>
      </c>
      <c r="E541" s="1" t="n">
        <v>46293</v>
      </c>
      <c r="F541" t="inlineStr">
        <is>
          <t>JÖNKÖPINGS LÄN</t>
        </is>
      </c>
      <c r="G541" t="inlineStr">
        <is>
          <t>NÄSSJÖ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12950-2025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46293</v>
      </c>
      <c r="F542" t="inlineStr">
        <is>
          <t>JÖNKÖPINGS LÄN</t>
        </is>
      </c>
      <c r="G542" t="inlineStr">
        <is>
          <t>NÄSSJÖ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46293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45328</v>
      </c>
      <c r="E544" s="1" t="n">
        <v>46293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55592-2023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45238</v>
      </c>
      <c r="E545" s="1" t="n">
        <v>46293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46293</v>
      </c>
      <c r="F546" t="inlineStr">
        <is>
          <t>JÖNKÖPINGS LÄN</t>
        </is>
      </c>
      <c r="G546" t="inlineStr">
        <is>
          <t>NÄSSJÖ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45776</v>
      </c>
      <c r="E547" s="1" t="n">
        <v>46293</v>
      </c>
      <c r="F547" t="inlineStr">
        <is>
          <t>JÖNKÖPINGS LÄN</t>
        </is>
      </c>
      <c r="G547" t="inlineStr">
        <is>
          <t>NÄSSJÖ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46293</v>
      </c>
      <c r="F548" t="inlineStr">
        <is>
          <t>JÖNKÖPINGS LÄN</t>
        </is>
      </c>
      <c r="G548" t="inlineStr">
        <is>
          <t>NÄSSJÖ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46293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45615</v>
      </c>
      <c r="E550" s="1" t="n">
        <v>46293</v>
      </c>
      <c r="F550" t="inlineStr">
        <is>
          <t>JÖNKÖPINGS LÄN</t>
        </is>
      </c>
      <c r="G550" t="inlineStr">
        <is>
          <t>NÄSSJÖ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50020-2024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45599</v>
      </c>
      <c r="E551" s="1" t="n">
        <v>46293</v>
      </c>
      <c r="F551" t="inlineStr">
        <is>
          <t>JÖNKÖPINGS LÄN</t>
        </is>
      </c>
      <c r="G551" t="inlineStr">
        <is>
          <t>NÄSSJÖ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7175-2022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44605</v>
      </c>
      <c r="E552" s="1" t="n">
        <v>46293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3647-2024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45320</v>
      </c>
      <c r="E553" s="1" t="n">
        <v>46293</v>
      </c>
      <c r="F553" t="inlineStr">
        <is>
          <t>JÖNKÖPINGS LÄN</t>
        </is>
      </c>
      <c r="G553" t="inlineStr">
        <is>
          <t>NÄSSJÖ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46293</v>
      </c>
      <c r="F554" t="inlineStr">
        <is>
          <t>JÖNKÖPINGS LÄN</t>
        </is>
      </c>
      <c r="G554" t="inlineStr">
        <is>
          <t>NÄSSJÖ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46293</v>
      </c>
      <c r="F555" t="inlineStr">
        <is>
          <t>JÖNKÖPINGS LÄN</t>
        </is>
      </c>
      <c r="G555" t="inlineStr">
        <is>
          <t>NÄSSJÖ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47008-2024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45586</v>
      </c>
      <c r="E556" s="1" t="n">
        <v>46293</v>
      </c>
      <c r="F556" t="inlineStr">
        <is>
          <t>JÖNKÖPINGS LÄN</t>
        </is>
      </c>
      <c r="G556" t="inlineStr">
        <is>
          <t>NÄSSJÖ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45791</v>
      </c>
      <c r="E557" s="1" t="n">
        <v>46293</v>
      </c>
      <c r="F557" t="inlineStr">
        <is>
          <t>JÖNKÖPINGS LÄN</t>
        </is>
      </c>
      <c r="G557" t="inlineStr">
        <is>
          <t>NÄSSJÖ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45791</v>
      </c>
      <c r="E558" s="1" t="n">
        <v>46293</v>
      </c>
      <c r="F558" t="inlineStr">
        <is>
          <t>JÖNKÖPINGS LÄN</t>
        </is>
      </c>
      <c r="G558" t="inlineStr">
        <is>
          <t>NÄSSJÖ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46293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2371-2023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45109</v>
      </c>
      <c r="E560" s="1" t="n">
        <v>46293</v>
      </c>
      <c r="F560" t="inlineStr">
        <is>
          <t>JÖNKÖPINGS LÄN</t>
        </is>
      </c>
      <c r="G560" t="inlineStr">
        <is>
          <t>NÄSSJÖ</t>
        </is>
      </c>
      <c r="I560" t="n">
        <v>18.3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1040-2022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44613</v>
      </c>
      <c r="E561" s="1" t="n">
        <v>46293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44575</v>
      </c>
      <c r="E562" s="1" t="n">
        <v>46293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1405-2023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45042</v>
      </c>
      <c r="E563" s="1" t="n">
        <v>46293</v>
      </c>
      <c r="F563" t="inlineStr">
        <is>
          <t>JÖNKÖPINGS LÄN</t>
        </is>
      </c>
      <c r="G563" t="inlineStr">
        <is>
          <t>NÄSSJÖ</t>
        </is>
      </c>
      <c r="I563" t="n">
        <v>26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2094-2024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45453</v>
      </c>
      <c r="E564" s="1" t="n">
        <v>46293</v>
      </c>
      <c r="F564" t="inlineStr">
        <is>
          <t>JÖNKÖPINGS LÄN</t>
        </is>
      </c>
      <c r="G564" t="inlineStr">
        <is>
          <t>NÄSSJÖ</t>
        </is>
      </c>
      <c r="I564" t="n">
        <v>37.7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1381-2024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45411</v>
      </c>
      <c r="E565" s="1" t="n">
        <v>46293</v>
      </c>
      <c r="F565" t="inlineStr">
        <is>
          <t>JÖNKÖPINGS LÄN</t>
        </is>
      </c>
      <c r="G565" t="inlineStr">
        <is>
          <t>NÄSSJÖ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45029</v>
      </c>
      <c r="E566" s="1" t="n">
        <v>46293</v>
      </c>
      <c r="F566" t="inlineStr">
        <is>
          <t>JÖNKÖPINGS LÄN</t>
        </is>
      </c>
      <c r="G566" t="inlineStr">
        <is>
          <t>NÄSSJÖ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45118</v>
      </c>
      <c r="E567" s="1" t="n">
        <v>46293</v>
      </c>
      <c r="F567" t="inlineStr">
        <is>
          <t>JÖNKÖPINGS LÄN</t>
        </is>
      </c>
      <c r="G567" t="inlineStr">
        <is>
          <t>NÄSSJÖ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1950-2023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45082</v>
      </c>
      <c r="E568" s="1" t="n">
        <v>46293</v>
      </c>
      <c r="F568" t="inlineStr">
        <is>
          <t>JÖNKÖPINGS LÄN</t>
        </is>
      </c>
      <c r="G568" t="inlineStr">
        <is>
          <t>NÄSSJÖ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45112</v>
      </c>
      <c r="E569" s="1" t="n">
        <v>46293</v>
      </c>
      <c r="F569" t="inlineStr">
        <is>
          <t>JÖNKÖPINGS LÄN</t>
        </is>
      </c>
      <c r="G569" t="inlineStr">
        <is>
          <t>NÄSSJÖ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654-2023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44977</v>
      </c>
      <c r="E570" s="1" t="n">
        <v>46293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7883-2021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44482</v>
      </c>
      <c r="E571" s="1" t="n">
        <v>46293</v>
      </c>
      <c r="F571" t="inlineStr">
        <is>
          <t>JÖNKÖPINGS LÄN</t>
        </is>
      </c>
      <c r="G571" t="inlineStr">
        <is>
          <t>NÄSSJÖ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46293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46293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46293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45419</v>
      </c>
      <c r="E575" s="1" t="n">
        <v>46293</v>
      </c>
      <c r="F575" t="inlineStr">
        <is>
          <t>JÖNKÖPINGS LÄN</t>
        </is>
      </c>
      <c r="G575" t="inlineStr">
        <is>
          <t>NÄSSJÖ</t>
        </is>
      </c>
      <c r="I575" t="n">
        <v>21.6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1666-2023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45062</v>
      </c>
      <c r="E576" s="1" t="n">
        <v>46293</v>
      </c>
      <c r="F576" t="inlineStr">
        <is>
          <t>JÖNKÖPINGS LÄN</t>
        </is>
      </c>
      <c r="G576" t="inlineStr">
        <is>
          <t>NÄSSJÖ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46293</v>
      </c>
      <c r="F577" t="inlineStr">
        <is>
          <t>JÖNKÖPINGS LÄN</t>
        </is>
      </c>
      <c r="G577" t="inlineStr">
        <is>
          <t>NÄSSJÖ</t>
        </is>
      </c>
      <c r="H577" t="inlineStr">
        <is>
          <t>Kommuner</t>
        </is>
      </c>
      <c r="I577" t="n">
        <v>65.2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1731-2025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45809</v>
      </c>
      <c r="E578" s="1" t="n">
        <v>46293</v>
      </c>
      <c r="F578" t="inlineStr">
        <is>
          <t>JÖNKÖPINGS LÄN</t>
        </is>
      </c>
      <c r="G578" t="inlineStr">
        <is>
          <t>NÄSSJÖ</t>
        </is>
      </c>
      <c r="I578" t="n">
        <v>27.6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1699-2025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45804</v>
      </c>
      <c r="E579" s="1" t="n">
        <v>46293</v>
      </c>
      <c r="F579" t="inlineStr">
        <is>
          <t>JÖNKÖPINGS LÄN</t>
        </is>
      </c>
      <c r="G579" t="inlineStr">
        <is>
          <t>NÄSSJÖ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45835</v>
      </c>
      <c r="E580" s="1" t="n">
        <v>46293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688-2026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46293</v>
      </c>
      <c r="F581" t="inlineStr">
        <is>
          <t>JÖNKÖPINGS LÄN</t>
        </is>
      </c>
      <c r="G581" t="inlineStr">
        <is>
          <t>NÄSSJÖ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691-2026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46091</v>
      </c>
      <c r="E582" s="1" t="n">
        <v>46293</v>
      </c>
      <c r="F582" t="inlineStr">
        <is>
          <t>JÖNKÖPINGS LÄN</t>
        </is>
      </c>
      <c r="G582" t="inlineStr">
        <is>
          <t>NÄSSJÖ</t>
        </is>
      </c>
      <c r="I582" t="n">
        <v>33.2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1942-2026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46209</v>
      </c>
      <c r="E583" s="1" t="n">
        <v>46293</v>
      </c>
      <c r="F583" t="inlineStr">
        <is>
          <t>JÖNKÖPINGS LÄN</t>
        </is>
      </c>
      <c r="G583" t="inlineStr">
        <is>
          <t>NÄSSJÖ</t>
        </is>
      </c>
      <c r="H583" t="inlineStr">
        <is>
          <t>Sveaskog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1332-2026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46150</v>
      </c>
      <c r="E584" s="1" t="n">
        <v>46293</v>
      </c>
      <c r="F584" t="inlineStr">
        <is>
          <t>JÖNKÖPINGS LÄN</t>
        </is>
      </c>
      <c r="G584" t="inlineStr">
        <is>
          <t>NÄSSJÖ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2026-09-28T01:59:08Z</dcterms:created>
  <dcterms:modified xmlns:dcterms="http://purl.org/dc/terms/" xmlns:xsi="http://www.w3.org/2001/XMLSchema-instance" xsi:type="dcterms:W3CDTF">2026-09-28T01:59:08Z</dcterms:modified>
</cp:coreProperties>
</file>