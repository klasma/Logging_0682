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46302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46302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46302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46302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14539-2024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46302</v>
      </c>
      <c r="F11" t="inlineStr">
        <is>
          <t>JÖNKÖPINGS LÄN</t>
        </is>
      </c>
      <c r="G11" t="inlineStr">
        <is>
          <t>NÄSSJÖ</t>
        </is>
      </c>
      <c r="I11" t="n">
        <v>9.9</v>
      </c>
      <c r="J11" t="n">
        <v>4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1</v>
      </c>
      <c r="V11" s="2" t="inlineStr">
        <is>
          <t>Blå kärrhök
Entita
Flodsångare
Kungsfågel</t>
        </is>
      </c>
      <c r="W11">
        <f>HYPERLINK("https://klasma.github.io/Logging_0682/artfynd/A 14539-2024 artfynd.xlsx", "A 14539-2024")</f>
        <v/>
      </c>
      <c r="X11">
        <f>HYPERLINK("https://klasma.github.io/Logging_0682/kartor/A 14539-2024 karta.png", "A 14539-2024")</f>
        <v/>
      </c>
      <c r="Y11">
        <f>HYPERLINK("https://klasma.github.io/Logging_0682/kartor_geotiff/A 14539-2024 georefererad karta.tif", "A 14539-2024")</f>
        <v/>
      </c>
      <c r="AA11">
        <f>HYPERLINK("https://klasma.github.io/Logging_0682/klagomål/A 14539-2024 FSC-klagomål.docx", "A 14539-2024")</f>
        <v/>
      </c>
      <c r="AB11">
        <f>HYPERLINK("https://klasma.github.io/Logging_0682/klagomålsmail/A 14539-2024 FSC-klagomål mail.docx", "A 14539-2024")</f>
        <v/>
      </c>
      <c r="AC11">
        <f>HYPERLINK("https://klasma.github.io/Logging_0682/tillsyn/A 14539-2024 tillsynsbegäran.docx", "A 14539-2024")</f>
        <v/>
      </c>
      <c r="AD11">
        <f>HYPERLINK("https://klasma.github.io/Logging_0682/tillsynsmail/A 14539-2024 tillsynsbegäran mail.docx", "A 14539-2024")</f>
        <v/>
      </c>
      <c r="AE11">
        <f>HYPERLINK("https://klasma.github.io/Logging_0682/fåglar/A 14539-2024 prioriterade fågelarter.docx", "A 14539-2024")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46302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46302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46302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46302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46302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46302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46302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46302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46302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46302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46302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46302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46302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46302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46302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46302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46302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4720-2026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46302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HYPERLINK("https://klasma.github.io/Logging_0682/artfynd/A 4720-2026 artfynd.xlsx", "A 4720-2026")</f>
        <v/>
      </c>
      <c r="X29">
        <f>HYPERLINK("https://klasma.github.io/Logging_0682/kartor/A 4720-2026 karta.png", "A 4720-2026")</f>
        <v/>
      </c>
      <c r="Y29">
        <f>HYPERLINK("https://klasma.github.io/Logging_0682/kartor_geotiff/A 4720-2026 georefererad karta.tif", "A 4720-2026")</f>
        <v/>
      </c>
      <c r="AA29">
        <f>HYPERLINK("https://klasma.github.io/Logging_0682/klagomål/A 4720-2026 FSC-klagomål.docx", "A 4720-2026")</f>
        <v/>
      </c>
      <c r="AB29">
        <f>HYPERLINK("https://klasma.github.io/Logging_0682/klagomålsmail/A 4720-2026 FSC-klagomål mail.docx", "A 4720-2026")</f>
        <v/>
      </c>
      <c r="AC29">
        <f>HYPERLINK("https://klasma.github.io/Logging_0682/tillsyn/A 4720-2026 tillsynsbegäran.docx", "A 4720-2026")</f>
        <v/>
      </c>
      <c r="AD29">
        <f>HYPERLINK("https://klasma.github.io/Logging_0682/tillsynsmail/A 4720-2026 tillsynsbegäran mail.docx", "A 4720-2026")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46302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46302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33414-2025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46302</v>
      </c>
      <c r="F32" t="inlineStr">
        <is>
          <t>JÖNKÖPINGS LÄN</t>
        </is>
      </c>
      <c r="G32" t="inlineStr">
        <is>
          <t>NÄSSJÖ</t>
        </is>
      </c>
      <c r="I32" t="n">
        <v>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Rhithrogena germanica</t>
        </is>
      </c>
      <c r="W32">
        <f>HYPERLINK("https://klasma.github.io/Logging_0682/artfynd/A 33414-2025 artfynd.xlsx", "A 33414-2025")</f>
        <v/>
      </c>
      <c r="X32">
        <f>HYPERLINK("https://klasma.github.io/Logging_0682/kartor/A 33414-2025 karta.png", "A 33414-2025")</f>
        <v/>
      </c>
      <c r="Y32">
        <f>HYPERLINK("https://klasma.github.io/Logging_0682/kartor_geotiff/A 33414-2025 georefererad karta.tif", "A 33414-2025")</f>
        <v/>
      </c>
      <c r="AA32">
        <f>HYPERLINK("https://klasma.github.io/Logging_0682/klagomål/A 33414-2025 FSC-klagomål.docx", "A 33414-2025")</f>
        <v/>
      </c>
      <c r="AB32">
        <f>HYPERLINK("https://klasma.github.io/Logging_0682/klagomålsmail/A 33414-2025 FSC-klagomål mail.docx", "A 33414-2025")</f>
        <v/>
      </c>
      <c r="AC32">
        <f>HYPERLINK("https://klasma.github.io/Logging_0682/tillsyn/A 33414-2025 tillsynsbegäran.docx", "A 33414-2025")</f>
        <v/>
      </c>
      <c r="AD32">
        <f>HYPERLINK("https://klasma.github.io/Logging_0682/tillsynsmail/A 33414-2025 tillsynsbegäran mail.docx", "A 33414-2025")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46302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33373-2025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46302</v>
      </c>
      <c r="F34" t="inlineStr">
        <is>
          <t>JÖNKÖPINGS LÄN</t>
        </is>
      </c>
      <c r="G34" t="inlineStr">
        <is>
          <t>NÄSSJÖ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Ögonpyrola</t>
        </is>
      </c>
      <c r="W34">
        <f>HYPERLINK("https://klasma.github.io/Logging_0682/artfynd/A 33373-2025 artfynd.xlsx", "A 33373-2025")</f>
        <v/>
      </c>
      <c r="X34">
        <f>HYPERLINK("https://klasma.github.io/Logging_0682/kartor/A 33373-2025 karta.png", "A 33373-2025")</f>
        <v/>
      </c>
      <c r="Y34">
        <f>HYPERLINK("https://klasma.github.io/Logging_0682/kartor_geotiff/A 33373-2025 georefererad karta.tif", "A 33373-2025")</f>
        <v/>
      </c>
      <c r="AA34">
        <f>HYPERLINK("https://klasma.github.io/Logging_0682/klagomål/A 33373-2025 FSC-klagomål.docx", "A 33373-2025")</f>
        <v/>
      </c>
      <c r="AB34">
        <f>HYPERLINK("https://klasma.github.io/Logging_0682/klagomålsmail/A 33373-2025 FSC-klagomål mail.docx", "A 33373-2025")</f>
        <v/>
      </c>
      <c r="AC34">
        <f>HYPERLINK("https://klasma.github.io/Logging_0682/tillsyn/A 33373-2025 tillsynsbegäran.docx", "A 33373-2025")</f>
        <v/>
      </c>
      <c r="AD34">
        <f>HYPERLINK("https://klasma.github.io/Logging_0682/tillsynsmail/A 33373-2025 tillsynsbegäran mail.docx", "A 33373-2025")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46302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50120-2025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45943</v>
      </c>
      <c r="E36" s="1" t="n">
        <v>46302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HYPERLINK("https://klasma.github.io/Logging_0682/artfynd/A 50120-2025 artfynd.xlsx", "A 50120-2025")</f>
        <v/>
      </c>
      <c r="X36">
        <f>HYPERLINK("https://klasma.github.io/Logging_0682/kartor/A 50120-2025 karta.png", "A 50120-2025")</f>
        <v/>
      </c>
      <c r="Y36">
        <f>HYPERLINK("https://klasma.github.io/Logging_0682/kartor_geotiff/A 50120-2025 georefererad karta.tif", "A 50120-2025")</f>
        <v/>
      </c>
      <c r="AA36">
        <f>HYPERLINK("https://klasma.github.io/Logging_0682/klagomål/A 50120-2025 FSC-klagomål.docx", "A 50120-2025")</f>
        <v/>
      </c>
      <c r="AB36">
        <f>HYPERLINK("https://klasma.github.io/Logging_0682/klagomålsmail/A 50120-2025 FSC-klagomål mail.docx", "A 50120-2025")</f>
        <v/>
      </c>
      <c r="AC36">
        <f>HYPERLINK("https://klasma.github.io/Logging_0682/tillsyn/A 50120-2025 tillsynsbegäran.docx", "A 50120-2025")</f>
        <v/>
      </c>
      <c r="AD36">
        <f>HYPERLINK("https://klasma.github.io/Logging_0682/tillsynsmail/A 50120-2025 tillsynsbegäran mail.docx", "A 50120-2025")</f>
        <v/>
      </c>
    </row>
    <row r="37" ht="15" customHeight="1">
      <c r="A37" t="inlineStr">
        <is>
          <t>A 41327-2025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45899</v>
      </c>
      <c r="E37" s="1" t="n">
        <v>46302</v>
      </c>
      <c r="F37" t="inlineStr">
        <is>
          <t>JÖNKÖPINGS LÄN</t>
        </is>
      </c>
      <c r="G37" t="inlineStr">
        <is>
          <t>NÄSSJÖ</t>
        </is>
      </c>
      <c r="I37" t="n">
        <v>5.6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41327-2025 artfynd.xlsx", "A 41327-2025")</f>
        <v/>
      </c>
      <c r="X37">
        <f>HYPERLINK("https://klasma.github.io/Logging_0682/kartor/A 41327-2025 karta.png", "A 41327-2025")</f>
        <v/>
      </c>
      <c r="Y37">
        <f>HYPERLINK("https://klasma.github.io/Logging_0682/kartor_geotiff/A 41327-2025 georefererad karta.tif", "A 41327-2025")</f>
        <v/>
      </c>
      <c r="AA37">
        <f>HYPERLINK("https://klasma.github.io/Logging_0682/klagomål/A 41327-2025 FSC-klagomål.docx", "A 41327-2025")</f>
        <v/>
      </c>
      <c r="AB37">
        <f>HYPERLINK("https://klasma.github.io/Logging_0682/klagomålsmail/A 41327-2025 FSC-klagomål mail.docx", "A 41327-2025")</f>
        <v/>
      </c>
      <c r="AC37">
        <f>HYPERLINK("https://klasma.github.io/Logging_0682/tillsyn/A 41327-2025 tillsynsbegäran.docx", "A 41327-2025")</f>
        <v/>
      </c>
      <c r="AD37">
        <f>HYPERLINK("https://klasma.github.io/Logging_0682/tillsynsmail/A 41327-2025 tillsynsbegäran mail.docx", "A 41327-2025")</f>
        <v/>
      </c>
      <c r="AE37">
        <f>HYPERLINK("https://klasma.github.io/Logging_0682/fåglar/A 41327-2025 prioriterade fågelarter.docx", "A 41327-2025")</f>
        <v/>
      </c>
    </row>
    <row r="38" ht="15" customHeight="1">
      <c r="A38" t="inlineStr">
        <is>
          <t>A 33372-2025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46302</v>
      </c>
      <c r="F38" t="inlineStr">
        <is>
          <t>JÖNKÖPINGS LÄN</t>
        </is>
      </c>
      <c r="G38" t="inlineStr">
        <is>
          <t>NÄSSJÖ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HYPERLINK("https://klasma.github.io/Logging_0682/artfynd/A 33372-2025 artfynd.xlsx", "A 33372-2025")</f>
        <v/>
      </c>
      <c r="X38">
        <f>HYPERLINK("https://klasma.github.io/Logging_0682/kartor/A 33372-2025 karta.png", "A 33372-2025")</f>
        <v/>
      </c>
      <c r="Y38">
        <f>HYPERLINK("https://klasma.github.io/Logging_0682/kartor_geotiff/A 33372-2025 georefererad karta.tif", "A 33372-2025")</f>
        <v/>
      </c>
      <c r="AA38">
        <f>HYPERLINK("https://klasma.github.io/Logging_0682/klagomål/A 33372-2025 FSC-klagomål.docx", "A 33372-2025")</f>
        <v/>
      </c>
      <c r="AB38">
        <f>HYPERLINK("https://klasma.github.io/Logging_0682/klagomålsmail/A 33372-2025 FSC-klagomål mail.docx", "A 33372-2025")</f>
        <v/>
      </c>
      <c r="AC38">
        <f>HYPERLINK("https://klasma.github.io/Logging_0682/tillsyn/A 33372-2025 tillsynsbegäran.docx", "A 33372-2025")</f>
        <v/>
      </c>
      <c r="AD38">
        <f>HYPERLINK("https://klasma.github.io/Logging_0682/tillsynsmail/A 33372-2025 tillsynsbegäran mail.docx", "A 33372-2025")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46302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Fältgentiana</t>
        </is>
      </c>
      <c r="W39">
        <f>HYPERLINK("https://klasma.github.io/Logging_0682/artfynd/A 63989-2025 artfynd.xlsx", "A 63989-2025")</f>
        <v/>
      </c>
      <c r="X39">
        <f>HYPERLINK("https://klasma.github.io/Logging_0682/kartor/A 63989-2025 karta.png", "A 63989-2025")</f>
        <v/>
      </c>
      <c r="Y39">
        <f>HYPERLINK("https://klasma.github.io/Logging_0682/kartor_geotiff/A 63989-2025 georefererad karta.tif", "A 63989-2025")</f>
        <v/>
      </c>
      <c r="AA39">
        <f>HYPERLINK("https://klasma.github.io/Logging_0682/klagomål/A 63989-2025 FSC-klagomål.docx", "A 63989-2025")</f>
        <v/>
      </c>
      <c r="AB39">
        <f>HYPERLINK("https://klasma.github.io/Logging_0682/klagomålsmail/A 63989-2025 FSC-klagomål mail.docx", "A 63989-2025")</f>
        <v/>
      </c>
      <c r="AC39">
        <f>HYPERLINK("https://klasma.github.io/Logging_0682/tillsyn/A 63989-2025 tillsynsbegäran.docx", "A 63989-2025")</f>
        <v/>
      </c>
      <c r="AD39">
        <f>HYPERLINK("https://klasma.github.io/Logging_0682/tillsynsmail/A 63989-2025 tillsynsbegäran mail.docx", "A 63989-2025")</f>
        <v/>
      </c>
    </row>
    <row r="40" ht="15" customHeight="1">
      <c r="A40" t="inlineStr">
        <is>
          <t>A 20607-2026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46140</v>
      </c>
      <c r="E40" s="1" t="n">
        <v>46302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HYPERLINK("https://klasma.github.io/Logging_0682/artfynd/A 20607-2026 artfynd.xlsx", "A 20607-2026")</f>
        <v/>
      </c>
      <c r="X40">
        <f>HYPERLINK("https://klasma.github.io/Logging_0682/kartor/A 20607-2026 karta.png", "A 20607-2026")</f>
        <v/>
      </c>
      <c r="Y40">
        <f>HYPERLINK("https://klasma.github.io/Logging_0682/kartor_geotiff/A 20607-2026 georefererad karta.tif", "A 20607-2026")</f>
        <v/>
      </c>
      <c r="AA40">
        <f>HYPERLINK("https://klasma.github.io/Logging_0682/klagomål/A 20607-2026 FSC-klagomål.docx", "A 20607-2026")</f>
        <v/>
      </c>
      <c r="AB40">
        <f>HYPERLINK("https://klasma.github.io/Logging_0682/klagomålsmail/A 20607-2026 FSC-klagomål mail.docx", "A 20607-2026")</f>
        <v/>
      </c>
      <c r="AC40">
        <f>HYPERLINK("https://klasma.github.io/Logging_0682/tillsyn/A 20607-2026 tillsynsbegäran.docx", "A 20607-2026")</f>
        <v/>
      </c>
      <c r="AD40">
        <f>HYPERLINK("https://klasma.github.io/Logging_0682/tillsynsmail/A 20607-2026 tillsynsbegäran mail.docx", "A 20607-2026")</f>
        <v/>
      </c>
    </row>
    <row r="41" ht="15" customHeight="1">
      <c r="A41" t="inlineStr">
        <is>
          <t>A 3693-2022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46302</v>
      </c>
      <c r="F41" t="inlineStr">
        <is>
          <t>JÖNKÖPINGS LÄN</t>
        </is>
      </c>
      <c r="G41" t="inlineStr">
        <is>
          <t>NÄSSJÖ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Järnsparv</t>
        </is>
      </c>
      <c r="W41">
        <f>HYPERLINK("https://klasma.github.io/Logging_0682/artfynd/A 3693-2022 artfynd.xlsx", "A 3693-2022")</f>
        <v/>
      </c>
      <c r="X41">
        <f>HYPERLINK("https://klasma.github.io/Logging_0682/kartor/A 3693-2022 karta.png", "A 3693-2022")</f>
        <v/>
      </c>
      <c r="Y41">
        <f>HYPERLINK("https://klasma.github.io/Logging_0682/kartor_geotiff/A 3693-2022 georefererad karta.tif", "A 3693-2022")</f>
        <v/>
      </c>
      <c r="AA41">
        <f>HYPERLINK("https://klasma.github.io/Logging_0682/klagomål/A 3693-2022 FSC-klagomål.docx", "A 3693-2022")</f>
        <v/>
      </c>
      <c r="AB41">
        <f>HYPERLINK("https://klasma.github.io/Logging_0682/klagomålsmail/A 3693-2022 FSC-klagomål mail.docx", "A 3693-2022")</f>
        <v/>
      </c>
      <c r="AC41">
        <f>HYPERLINK("https://klasma.github.io/Logging_0682/tillsyn/A 3693-2022 tillsynsbegäran.docx", "A 3693-2022")</f>
        <v/>
      </c>
      <c r="AD41">
        <f>HYPERLINK("https://klasma.github.io/Logging_0682/tillsynsmail/A 3693-2022 tillsynsbegäran mail.docx", "A 3693-2022")</f>
        <v/>
      </c>
      <c r="AE41">
        <f>HYPERLINK("https://klasma.github.io/Logging_0682/fåglar/A 3693-2022 prioriterade fågelarter.docx", "A 3693-2022")</f>
        <v/>
      </c>
    </row>
    <row r="42" ht="15" customHeight="1">
      <c r="A42" t="inlineStr">
        <is>
          <t>A 46451-2022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46302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Sälg</t>
        </is>
      </c>
      <c r="W42">
        <f>HYPERLINK("https://klasma.github.io/Logging_0682/artfynd/A 46451-2022 artfynd.xlsx", "A 46451-2022")</f>
        <v/>
      </c>
      <c r="X42">
        <f>HYPERLINK("https://klasma.github.io/Logging_0682/kartor/A 46451-2022 karta.png", "A 46451-2022")</f>
        <v/>
      </c>
      <c r="Y42">
        <f>HYPERLINK("https://klasma.github.io/Logging_0682/kartor_geotiff/A 46451-2022 georefererad karta.tif", "A 46451-2022")</f>
        <v/>
      </c>
      <c r="AA42">
        <f>HYPERLINK("https://klasma.github.io/Logging_0682/klagomål/A 46451-2022 FSC-klagomål.docx", "A 46451-2022")</f>
        <v/>
      </c>
      <c r="AB42">
        <f>HYPERLINK("https://klasma.github.io/Logging_0682/klagomålsmail/A 46451-2022 FSC-klagomål mail.docx", "A 46451-2022")</f>
        <v/>
      </c>
      <c r="AC42">
        <f>HYPERLINK("https://klasma.github.io/Logging_0682/tillsyn/A 46451-2022 tillsynsbegäran.docx", "A 46451-2022")</f>
        <v/>
      </c>
      <c r="AD42">
        <f>HYPERLINK("https://klasma.github.io/Logging_0682/tillsynsmail/A 46451-2022 tillsynsbegäran mail.docx", "A 46451-2022")</f>
        <v/>
      </c>
    </row>
    <row r="43" ht="15" customHeight="1">
      <c r="A43" t="inlineStr">
        <is>
          <t>A 60892-2024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46302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HYPERLINK("https://klasma.github.io/Logging_0682/artfynd/A 60892-2024 artfynd.xlsx", "A 60892-2024")</f>
        <v/>
      </c>
      <c r="X43">
        <f>HYPERLINK("https://klasma.github.io/Logging_0682/kartor/A 60892-2024 karta.png", "A 60892-2024")</f>
        <v/>
      </c>
      <c r="Y43">
        <f>HYPERLINK("https://klasma.github.io/Logging_0682/kartor_geotiff/A 60892-2024 georefererad karta.tif", "A 60892-2024")</f>
        <v/>
      </c>
      <c r="AA43">
        <f>HYPERLINK("https://klasma.github.io/Logging_0682/klagomål/A 60892-2024 FSC-klagomål.docx", "A 60892-2024")</f>
        <v/>
      </c>
      <c r="AB43">
        <f>HYPERLINK("https://klasma.github.io/Logging_0682/klagomålsmail/A 60892-2024 FSC-klagomål mail.docx", "A 60892-2024")</f>
        <v/>
      </c>
      <c r="AC43">
        <f>HYPERLINK("https://klasma.github.io/Logging_0682/tillsyn/A 60892-2024 tillsynsbegäran.docx", "A 60892-2024")</f>
        <v/>
      </c>
      <c r="AD43">
        <f>HYPERLINK("https://klasma.github.io/Logging_0682/tillsynsmail/A 60892-2024 tillsynsbegäran mail.docx", "A 60892-2024")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46302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38567-2026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46302</v>
      </c>
      <c r="F45" t="inlineStr">
        <is>
          <t>JÖNKÖPINGS LÄN</t>
        </is>
      </c>
      <c r="G45" t="inlineStr">
        <is>
          <t>NÄSSJÖ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HYPERLINK("https://klasma.github.io/Logging_0682/artfynd/A 38567-2026 artfynd.xlsx", "A 38567-2026")</f>
        <v/>
      </c>
      <c r="X45">
        <f>HYPERLINK("https://klasma.github.io/Logging_0682/kartor/A 38567-2026 karta.png", "A 38567-2026")</f>
        <v/>
      </c>
      <c r="Y45">
        <f>HYPERLINK("https://klasma.github.io/Logging_0682/kartor_geotiff/A 38567-2026 georefererad karta.tif", "A 38567-2026")</f>
        <v/>
      </c>
      <c r="AA45">
        <f>HYPERLINK("https://klasma.github.io/Logging_0682/klagomål/A 38567-2026 FSC-klagomål.docx", "A 38567-2026")</f>
        <v/>
      </c>
      <c r="AB45">
        <f>HYPERLINK("https://klasma.github.io/Logging_0682/klagomålsmail/A 38567-2026 FSC-klagomål mail.docx", "A 38567-2026")</f>
        <v/>
      </c>
      <c r="AC45">
        <f>HYPERLINK("https://klasma.github.io/Logging_0682/tillsyn/A 38567-2026 tillsynsbegäran.docx", "A 38567-2026")</f>
        <v/>
      </c>
      <c r="AD45">
        <f>HYPERLINK("https://klasma.github.io/Logging_0682/tillsynsmail/A 38567-2026 tillsynsbegäran mail.docx", "A 38567-2026")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46302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46302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46302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46302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46302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46302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46302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46302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46302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46302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46302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46302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46302</v>
      </c>
      <c r="F58" t="inlineStr">
        <is>
          <t>JÖNKÖPINGS LÄN</t>
        </is>
      </c>
      <c r="G58" t="inlineStr">
        <is>
          <t>NÄSSJÖ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46302</v>
      </c>
      <c r="F59" t="inlineStr">
        <is>
          <t>JÖNKÖPINGS LÄN</t>
        </is>
      </c>
      <c r="G59" t="inlineStr">
        <is>
          <t>NÄSSJÖ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46302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46302</v>
      </c>
      <c r="F61" t="inlineStr">
        <is>
          <t>JÖNKÖPINGS LÄN</t>
        </is>
      </c>
      <c r="G61" t="inlineStr">
        <is>
          <t>NÄSSJÖ</t>
        </is>
      </c>
      <c r="H61" t="inlineStr">
        <is>
          <t>Kommuner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46302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46302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46302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46302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46302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46302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46302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46302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46302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46302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46302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46302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46302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46302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46302</v>
      </c>
      <c r="F76" t="inlineStr">
        <is>
          <t>JÖNKÖPINGS LÄN</t>
        </is>
      </c>
      <c r="G76" t="inlineStr">
        <is>
          <t>NÄSSJÖ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46302</v>
      </c>
      <c r="F77" t="inlineStr">
        <is>
          <t>JÖNKÖPINGS LÄN</t>
        </is>
      </c>
      <c r="G77" t="inlineStr">
        <is>
          <t>NÄSSJÖ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46302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46302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46302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46302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46302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46302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46302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46302</v>
      </c>
      <c r="F85" t="inlineStr">
        <is>
          <t>JÖNKÖPINGS LÄN</t>
        </is>
      </c>
      <c r="G85" t="inlineStr">
        <is>
          <t>NÄSSJÖ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46302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46302</v>
      </c>
      <c r="F87" t="inlineStr">
        <is>
          <t>JÖNKÖPINGS LÄN</t>
        </is>
      </c>
      <c r="G87" t="inlineStr">
        <is>
          <t>NÄSSJÖ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46302</v>
      </c>
      <c r="F88" t="inlineStr">
        <is>
          <t>JÖNKÖPINGS LÄN</t>
        </is>
      </c>
      <c r="G88" t="inlineStr">
        <is>
          <t>NÄSSJÖ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46302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46302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46302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14037-2022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44650</v>
      </c>
      <c r="E92" s="1" t="n">
        <v>46302</v>
      </c>
      <c r="F92" t="inlineStr">
        <is>
          <t>JÖNKÖPINGS LÄN</t>
        </is>
      </c>
      <c r="G92" t="inlineStr">
        <is>
          <t>NÄSSJÖ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44568</v>
      </c>
      <c r="E93" s="1" t="n">
        <v>46302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10803-2024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46302</v>
      </c>
      <c r="F94" t="inlineStr">
        <is>
          <t>JÖNKÖPINGS LÄN</t>
        </is>
      </c>
      <c r="G94" t="inlineStr">
        <is>
          <t>NÄSSJÖ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46302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46302</v>
      </c>
      <c r="F96" t="inlineStr">
        <is>
          <t>JÖNKÖPINGS LÄN</t>
        </is>
      </c>
      <c r="G96" t="inlineStr">
        <is>
          <t>NÄSSJÖ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46302</v>
      </c>
      <c r="F97" t="inlineStr">
        <is>
          <t>JÖNKÖPINGS LÄN</t>
        </is>
      </c>
      <c r="G97" t="inlineStr">
        <is>
          <t>NÄSSJÖ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46302</v>
      </c>
      <c r="F98" t="inlineStr">
        <is>
          <t>JÖNKÖPINGS LÄN</t>
        </is>
      </c>
      <c r="G98" t="inlineStr">
        <is>
          <t>NÄSSJÖ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46302</v>
      </c>
      <c r="F99" t="inlineStr">
        <is>
          <t>JÖNKÖPINGS LÄN</t>
        </is>
      </c>
      <c r="G99" t="inlineStr">
        <is>
          <t>NÄSSJÖ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45754</v>
      </c>
      <c r="E100" s="1" t="n">
        <v>46302</v>
      </c>
      <c r="F100" t="inlineStr">
        <is>
          <t>JÖNKÖPINGS LÄN</t>
        </is>
      </c>
      <c r="G100" t="inlineStr">
        <is>
          <t>NÄSSJÖ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45670</v>
      </c>
      <c r="E101" s="1" t="n">
        <v>46302</v>
      </c>
      <c r="F101" t="inlineStr">
        <is>
          <t>JÖNKÖPINGS LÄN</t>
        </is>
      </c>
      <c r="G101" t="inlineStr">
        <is>
          <t>NÄSSJÖ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49880-2023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45213</v>
      </c>
      <c r="E102" s="1" t="n">
        <v>46302</v>
      </c>
      <c r="F102" t="inlineStr">
        <is>
          <t>JÖNKÖPINGS LÄN</t>
        </is>
      </c>
      <c r="G102" t="inlineStr">
        <is>
          <t>NÄSSJÖ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45704</v>
      </c>
      <c r="E103" s="1" t="n">
        <v>46302</v>
      </c>
      <c r="F103" t="inlineStr">
        <is>
          <t>JÖNKÖPINGS LÄN</t>
        </is>
      </c>
      <c r="G103" t="inlineStr">
        <is>
          <t>NÄSSJÖ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46302</v>
      </c>
      <c r="F104" t="inlineStr">
        <is>
          <t>JÖNKÖPINGS LÄN</t>
        </is>
      </c>
      <c r="G104" t="inlineStr">
        <is>
          <t>NÄSSJÖ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45720</v>
      </c>
      <c r="E105" s="1" t="n">
        <v>46302</v>
      </c>
      <c r="F105" t="inlineStr">
        <is>
          <t>JÖNKÖPINGS LÄN</t>
        </is>
      </c>
      <c r="G105" t="inlineStr">
        <is>
          <t>NÄSSJÖ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51136-2023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45219</v>
      </c>
      <c r="E106" s="1" t="n">
        <v>46302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46302</v>
      </c>
      <c r="F107" t="inlineStr">
        <is>
          <t>JÖNKÖPINGS LÄN</t>
        </is>
      </c>
      <c r="G107" t="inlineStr">
        <is>
          <t>NÄSSJÖ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46302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46302</v>
      </c>
      <c r="F109" t="inlineStr">
        <is>
          <t>JÖNKÖPINGS LÄN</t>
        </is>
      </c>
      <c r="G109" t="inlineStr">
        <is>
          <t>NÄSSJÖ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46302</v>
      </c>
      <c r="F110" t="inlineStr">
        <is>
          <t>JÖNKÖPINGS LÄN</t>
        </is>
      </c>
      <c r="G110" t="inlineStr">
        <is>
          <t>NÄSSJÖ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46302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45031</v>
      </c>
      <c r="E112" s="1" t="n">
        <v>46302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45380</v>
      </c>
      <c r="E113" s="1" t="n">
        <v>46302</v>
      </c>
      <c r="F113" t="inlineStr">
        <is>
          <t>JÖNKÖPINGS LÄN</t>
        </is>
      </c>
      <c r="G113" t="inlineStr">
        <is>
          <t>NÄSSJÖ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46302</v>
      </c>
      <c r="F114" t="inlineStr">
        <is>
          <t>JÖNKÖPINGS LÄN</t>
        </is>
      </c>
      <c r="G114" t="inlineStr">
        <is>
          <t>NÄSSJÖ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46302</v>
      </c>
      <c r="F115" t="inlineStr">
        <is>
          <t>JÖNKÖPINGS LÄN</t>
        </is>
      </c>
      <c r="G115" t="inlineStr">
        <is>
          <t>NÄSSJÖ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44867</v>
      </c>
      <c r="E116" s="1" t="n">
        <v>46302</v>
      </c>
      <c r="F116" t="inlineStr">
        <is>
          <t>JÖNKÖPINGS LÄN</t>
        </is>
      </c>
      <c r="G116" t="inlineStr">
        <is>
          <t>NÄSSJÖ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46302</v>
      </c>
      <c r="F117" t="inlineStr">
        <is>
          <t>JÖNKÖPINGS LÄN</t>
        </is>
      </c>
      <c r="G117" t="inlineStr">
        <is>
          <t>NÄSSJÖ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46302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31172-2024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45503</v>
      </c>
      <c r="E119" s="1" t="n">
        <v>46302</v>
      </c>
      <c r="F119" t="inlineStr">
        <is>
          <t>JÖNKÖPINGS LÄN</t>
        </is>
      </c>
      <c r="G119" t="inlineStr">
        <is>
          <t>NÄSSJÖ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46302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46302</v>
      </c>
      <c r="F121" t="inlineStr">
        <is>
          <t>JÖNKÖPINGS LÄN</t>
        </is>
      </c>
      <c r="G121" t="inlineStr">
        <is>
          <t>NÄSSJÖ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46302</v>
      </c>
      <c r="F122" t="inlineStr">
        <is>
          <t>JÖNKÖPINGS LÄN</t>
        </is>
      </c>
      <c r="G122" t="inlineStr">
        <is>
          <t>NÄSSJÖ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35811-2023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45148</v>
      </c>
      <c r="E123" s="1" t="n">
        <v>46302</v>
      </c>
      <c r="F123" t="inlineStr">
        <is>
          <t>JÖNKÖPINGS LÄN</t>
        </is>
      </c>
      <c r="G123" t="inlineStr">
        <is>
          <t>NÄSSJÖ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46302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46302</v>
      </c>
      <c r="F125" t="inlineStr">
        <is>
          <t>JÖNKÖPINGS LÄN</t>
        </is>
      </c>
      <c r="G125" t="inlineStr">
        <is>
          <t>NÄSSJÖ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45109</v>
      </c>
      <c r="E126" s="1" t="n">
        <v>46302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46302</v>
      </c>
      <c r="F127" t="inlineStr">
        <is>
          <t>JÖNKÖPINGS LÄN</t>
        </is>
      </c>
      <c r="G127" t="inlineStr">
        <is>
          <t>NÄSSJÖ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46302</v>
      </c>
      <c r="F128" t="inlineStr">
        <is>
          <t>JÖNKÖPINGS LÄN</t>
        </is>
      </c>
      <c r="G128" t="inlineStr">
        <is>
          <t>NÄSSJÖ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45485</v>
      </c>
      <c r="E129" s="1" t="n">
        <v>46302</v>
      </c>
      <c r="F129" t="inlineStr">
        <is>
          <t>JÖNKÖPINGS LÄN</t>
        </is>
      </c>
      <c r="G129" t="inlineStr">
        <is>
          <t>NÄSSJÖ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46302</v>
      </c>
      <c r="F130" t="inlineStr">
        <is>
          <t>JÖNKÖPINGS LÄN</t>
        </is>
      </c>
      <c r="G130" t="inlineStr">
        <is>
          <t>NÄSSJÖ</t>
        </is>
      </c>
      <c r="I130" t="n">
        <v>11.8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45188</v>
      </c>
      <c r="E131" s="1" t="n">
        <v>46302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45356</v>
      </c>
      <c r="E132" s="1" t="n">
        <v>46302</v>
      </c>
      <c r="F132" t="inlineStr">
        <is>
          <t>JÖNKÖPINGS LÄN</t>
        </is>
      </c>
      <c r="G132" t="inlineStr">
        <is>
          <t>NÄSSJÖ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45013</v>
      </c>
      <c r="E133" s="1" t="n">
        <v>46302</v>
      </c>
      <c r="F133" t="inlineStr">
        <is>
          <t>JÖNKÖPINGS LÄN</t>
        </is>
      </c>
      <c r="G133" t="inlineStr">
        <is>
          <t>NÄSSJÖ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46302</v>
      </c>
      <c r="F134" t="inlineStr">
        <is>
          <t>JÖNKÖPINGS LÄN</t>
        </is>
      </c>
      <c r="G134" t="inlineStr">
        <is>
          <t>NÄSSJÖ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46302</v>
      </c>
      <c r="F135" t="inlineStr">
        <is>
          <t>JÖNKÖPINGS LÄN</t>
        </is>
      </c>
      <c r="G135" t="inlineStr">
        <is>
          <t>NÄSSJÖ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46302</v>
      </c>
      <c r="F136" t="inlineStr">
        <is>
          <t>JÖNKÖPINGS LÄN</t>
        </is>
      </c>
      <c r="G136" t="inlineStr">
        <is>
          <t>NÄSSJÖ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45723</v>
      </c>
      <c r="E137" s="1" t="n">
        <v>46302</v>
      </c>
      <c r="F137" t="inlineStr">
        <is>
          <t>JÖNKÖPINGS LÄN</t>
        </is>
      </c>
      <c r="G137" t="inlineStr">
        <is>
          <t>NÄSSJÖ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46302</v>
      </c>
      <c r="F138" t="inlineStr">
        <is>
          <t>JÖNKÖPINGS LÄN</t>
        </is>
      </c>
      <c r="G138" t="inlineStr">
        <is>
          <t>NÄSSJÖ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46302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46302</v>
      </c>
      <c r="F140" t="inlineStr">
        <is>
          <t>JÖNKÖPINGS LÄN</t>
        </is>
      </c>
      <c r="G140" t="inlineStr">
        <is>
          <t>NÄSSJÖ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46302</v>
      </c>
      <c r="F141" t="inlineStr">
        <is>
          <t>JÖNKÖPINGS LÄN</t>
        </is>
      </c>
      <c r="G141" t="inlineStr">
        <is>
          <t>NÄSSJÖ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46302</v>
      </c>
      <c r="F142" t="inlineStr">
        <is>
          <t>JÖNKÖPINGS LÄN</t>
        </is>
      </c>
      <c r="G142" t="inlineStr">
        <is>
          <t>NÄSSJÖ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45303</v>
      </c>
      <c r="E143" s="1" t="n">
        <v>46302</v>
      </c>
      <c r="F143" t="inlineStr">
        <is>
          <t>JÖNKÖPINGS LÄN</t>
        </is>
      </c>
      <c r="G143" t="inlineStr">
        <is>
          <t>NÄSSJÖ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46302</v>
      </c>
      <c r="F144" t="inlineStr">
        <is>
          <t>JÖNKÖPINGS LÄN</t>
        </is>
      </c>
      <c r="G144" t="inlineStr">
        <is>
          <t>NÄSSJÖ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45732</v>
      </c>
      <c r="E145" s="1" t="n">
        <v>46302</v>
      </c>
      <c r="F145" t="inlineStr">
        <is>
          <t>JÖNKÖPINGS LÄN</t>
        </is>
      </c>
      <c r="G145" t="inlineStr">
        <is>
          <t>NÄSSJÖ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45014</v>
      </c>
      <c r="E146" s="1" t="n">
        <v>46302</v>
      </c>
      <c r="F146" t="inlineStr">
        <is>
          <t>JÖNKÖPINGS LÄN</t>
        </is>
      </c>
      <c r="G146" t="inlineStr">
        <is>
          <t>NÄSSJÖ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24533-2024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46302</v>
      </c>
      <c r="F147" t="inlineStr">
        <is>
          <t>JÖNKÖPINGS LÄN</t>
        </is>
      </c>
      <c r="G147" t="inlineStr">
        <is>
          <t>NÄSSJÖ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46302</v>
      </c>
      <c r="F148" t="inlineStr">
        <is>
          <t>JÖNKÖPINGS LÄN</t>
        </is>
      </c>
      <c r="G148" t="inlineStr">
        <is>
          <t>NÄSSJÖ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32982-2024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45517</v>
      </c>
      <c r="E149" s="1" t="n">
        <v>46302</v>
      </c>
      <c r="F149" t="inlineStr">
        <is>
          <t>JÖNKÖPINGS LÄN</t>
        </is>
      </c>
      <c r="G149" t="inlineStr">
        <is>
          <t>NÄSSJÖ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46302</v>
      </c>
      <c r="F150" t="inlineStr">
        <is>
          <t>JÖNKÖPINGS LÄN</t>
        </is>
      </c>
      <c r="G150" t="inlineStr">
        <is>
          <t>NÄSSJÖ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46302</v>
      </c>
      <c r="F151" t="inlineStr">
        <is>
          <t>JÖNKÖPINGS LÄN</t>
        </is>
      </c>
      <c r="G151" t="inlineStr">
        <is>
          <t>NÄSSJÖ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46302</v>
      </c>
      <c r="F152" t="inlineStr">
        <is>
          <t>JÖNKÖPINGS LÄN</t>
        </is>
      </c>
      <c r="G152" t="inlineStr">
        <is>
          <t>NÄSSJÖ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46302</v>
      </c>
      <c r="F153" t="inlineStr">
        <is>
          <t>JÖNKÖPINGS LÄN</t>
        </is>
      </c>
      <c r="G153" t="inlineStr">
        <is>
          <t>NÄSSJÖ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46302</v>
      </c>
      <c r="F154" t="inlineStr">
        <is>
          <t>JÖNKÖPINGS LÄN</t>
        </is>
      </c>
      <c r="G154" t="inlineStr">
        <is>
          <t>NÄSSJÖ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46302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46302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46302</v>
      </c>
      <c r="F157" t="inlineStr">
        <is>
          <t>JÖNKÖPINGS LÄN</t>
        </is>
      </c>
      <c r="G157" t="inlineStr">
        <is>
          <t>NÄSSJÖ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46302</v>
      </c>
      <c r="F158" t="inlineStr">
        <is>
          <t>JÖNKÖPINGS LÄN</t>
        </is>
      </c>
      <c r="G158" t="inlineStr">
        <is>
          <t>NÄSSJÖ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39555-2025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45890</v>
      </c>
      <c r="E159" s="1" t="n">
        <v>46302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45181</v>
      </c>
      <c r="E160" s="1" t="n">
        <v>46302</v>
      </c>
      <c r="F160" t="inlineStr">
        <is>
          <t>JÖNKÖPINGS LÄN</t>
        </is>
      </c>
      <c r="G160" t="inlineStr">
        <is>
          <t>NÄSSJÖ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46049</v>
      </c>
      <c r="E161" s="1" t="n">
        <v>46302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46302</v>
      </c>
      <c r="F162" t="inlineStr">
        <is>
          <t>JÖNKÖPINGS LÄN</t>
        </is>
      </c>
      <c r="G162" t="inlineStr">
        <is>
          <t>NÄSSJÖ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46302</v>
      </c>
      <c r="F163" t="inlineStr">
        <is>
          <t>JÖNKÖPINGS LÄN</t>
        </is>
      </c>
      <c r="G163" t="inlineStr">
        <is>
          <t>NÄSSJÖ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46051</v>
      </c>
      <c r="E164" s="1" t="n">
        <v>46302</v>
      </c>
      <c r="F164" t="inlineStr">
        <is>
          <t>JÖNKÖPINGS LÄN</t>
        </is>
      </c>
      <c r="G164" t="inlineStr">
        <is>
          <t>NÄSSJÖ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46302</v>
      </c>
      <c r="F165" t="inlineStr">
        <is>
          <t>JÖNKÖPINGS LÄN</t>
        </is>
      </c>
      <c r="G165" t="inlineStr">
        <is>
          <t>NÄSSJÖ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46302</v>
      </c>
      <c r="F166" t="inlineStr">
        <is>
          <t>JÖNKÖPINGS LÄN</t>
        </is>
      </c>
      <c r="G166" t="inlineStr">
        <is>
          <t>NÄSSJÖ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46302</v>
      </c>
      <c r="F167" t="inlineStr">
        <is>
          <t>JÖNKÖPINGS LÄN</t>
        </is>
      </c>
      <c r="G167" t="inlineStr">
        <is>
          <t>NÄSSJÖ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44484</v>
      </c>
      <c r="E168" s="1" t="n">
        <v>46302</v>
      </c>
      <c r="F168" t="inlineStr">
        <is>
          <t>JÖNKÖPINGS LÄN</t>
        </is>
      </c>
      <c r="G168" t="inlineStr">
        <is>
          <t>NÄSSJÖ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46302</v>
      </c>
      <c r="F169" t="inlineStr">
        <is>
          <t>JÖNKÖPINGS LÄN</t>
        </is>
      </c>
      <c r="G169" t="inlineStr">
        <is>
          <t>NÄSSJÖ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46057</v>
      </c>
      <c r="E170" s="1" t="n">
        <v>46302</v>
      </c>
      <c r="F170" t="inlineStr">
        <is>
          <t>JÖNKÖPINGS LÄN</t>
        </is>
      </c>
      <c r="G170" t="inlineStr">
        <is>
          <t>NÄSSJÖ</t>
        </is>
      </c>
      <c r="H170" t="inlineStr">
        <is>
          <t>Övriga Aktiebolag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45182</v>
      </c>
      <c r="E171" s="1" t="n">
        <v>46302</v>
      </c>
      <c r="F171" t="inlineStr">
        <is>
          <t>JÖNKÖPINGS LÄN</t>
        </is>
      </c>
      <c r="G171" t="inlineStr">
        <is>
          <t>NÄSSJÖ</t>
        </is>
      </c>
      <c r="H171" t="inlineStr">
        <is>
          <t>Övriga Aktiebolag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45412</v>
      </c>
      <c r="E172" s="1" t="n">
        <v>46302</v>
      </c>
      <c r="F172" t="inlineStr">
        <is>
          <t>JÖNKÖPINGS LÄN</t>
        </is>
      </c>
      <c r="G172" t="inlineStr">
        <is>
          <t>NÄSSJÖ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46302</v>
      </c>
      <c r="F173" t="inlineStr">
        <is>
          <t>JÖNKÖPINGS LÄN</t>
        </is>
      </c>
      <c r="G173" t="inlineStr">
        <is>
          <t>NÄSSJÖ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46302</v>
      </c>
      <c r="F174" t="inlineStr">
        <is>
          <t>JÖNKÖPINGS LÄN</t>
        </is>
      </c>
      <c r="G174" t="inlineStr">
        <is>
          <t>NÄSSJÖ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46302</v>
      </c>
      <c r="F175" t="inlineStr">
        <is>
          <t>JÖNKÖPINGS LÄN</t>
        </is>
      </c>
      <c r="G175" t="inlineStr">
        <is>
          <t>NÄSSJÖ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46302</v>
      </c>
      <c r="F176" t="inlineStr">
        <is>
          <t>JÖNKÖPINGS LÄN</t>
        </is>
      </c>
      <c r="G176" t="inlineStr">
        <is>
          <t>NÄSSJÖ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46302</v>
      </c>
      <c r="F177" t="inlineStr">
        <is>
          <t>JÖNKÖPINGS LÄN</t>
        </is>
      </c>
      <c r="G177" t="inlineStr">
        <is>
          <t>NÄSSJÖ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45873</v>
      </c>
      <c r="E178" s="1" t="n">
        <v>46302</v>
      </c>
      <c r="F178" t="inlineStr">
        <is>
          <t>JÖNKÖPINGS LÄN</t>
        </is>
      </c>
      <c r="G178" t="inlineStr">
        <is>
          <t>NÄSSJÖ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46061</v>
      </c>
      <c r="E179" s="1" t="n">
        <v>46302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45677</v>
      </c>
      <c r="E180" s="1" t="n">
        <v>46302</v>
      </c>
      <c r="F180" t="inlineStr">
        <is>
          <t>JÖNKÖPINGS LÄN</t>
        </is>
      </c>
      <c r="G180" t="inlineStr">
        <is>
          <t>NÄSSJÖ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45907</v>
      </c>
      <c r="E181" s="1" t="n">
        <v>46302</v>
      </c>
      <c r="F181" t="inlineStr">
        <is>
          <t>JÖNKÖPINGS LÄN</t>
        </is>
      </c>
      <c r="G181" t="inlineStr">
        <is>
          <t>NÄSSJÖ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45907</v>
      </c>
      <c r="E182" s="1" t="n">
        <v>46302</v>
      </c>
      <c r="F182" t="inlineStr">
        <is>
          <t>JÖNKÖPINGS LÄN</t>
        </is>
      </c>
      <c r="G182" t="inlineStr">
        <is>
          <t>NÄSSJÖ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44360-2023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45188</v>
      </c>
      <c r="E183" s="1" t="n">
        <v>46302</v>
      </c>
      <c r="F183" t="inlineStr">
        <is>
          <t>JÖNKÖPINGS LÄN</t>
        </is>
      </c>
      <c r="G183" t="inlineStr">
        <is>
          <t>NÄSSJÖ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46302</v>
      </c>
      <c r="F184" t="inlineStr">
        <is>
          <t>JÖNKÖPINGS LÄN</t>
        </is>
      </c>
      <c r="G184" t="inlineStr">
        <is>
          <t>NÄSSJÖ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46302</v>
      </c>
      <c r="F185" t="inlineStr">
        <is>
          <t>JÖNKÖPINGS LÄN</t>
        </is>
      </c>
      <c r="G185" t="inlineStr">
        <is>
          <t>NÄSSJÖ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46302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46302</v>
      </c>
      <c r="F187" t="inlineStr">
        <is>
          <t>JÖNKÖPINGS LÄN</t>
        </is>
      </c>
      <c r="G187" t="inlineStr">
        <is>
          <t>NÄSSJÖ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46302</v>
      </c>
      <c r="F188" t="inlineStr">
        <is>
          <t>JÖNKÖPINGS LÄN</t>
        </is>
      </c>
      <c r="G188" t="inlineStr">
        <is>
          <t>NÄSSJÖ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46070</v>
      </c>
      <c r="E189" s="1" t="n">
        <v>46302</v>
      </c>
      <c r="F189" t="inlineStr">
        <is>
          <t>JÖNKÖPINGS LÄN</t>
        </is>
      </c>
      <c r="G189" t="inlineStr">
        <is>
          <t>NÄSSJÖ</t>
        </is>
      </c>
      <c r="H189" t="inlineStr">
        <is>
          <t>Kyrkan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46302</v>
      </c>
      <c r="F190" t="inlineStr">
        <is>
          <t>JÖNKÖPINGS LÄN</t>
        </is>
      </c>
      <c r="G190" t="inlineStr">
        <is>
          <t>NÄSSJÖ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44763-2025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45917</v>
      </c>
      <c r="E191" s="1" t="n">
        <v>46302</v>
      </c>
      <c r="F191" t="inlineStr">
        <is>
          <t>JÖNKÖPINGS LÄN</t>
        </is>
      </c>
      <c r="G191" t="inlineStr">
        <is>
          <t>NÄSSJÖ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46302</v>
      </c>
      <c r="F192" t="inlineStr">
        <is>
          <t>JÖNKÖPINGS LÄN</t>
        </is>
      </c>
      <c r="G192" t="inlineStr">
        <is>
          <t>NÄSSJÖ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46302</v>
      </c>
      <c r="F193" t="inlineStr">
        <is>
          <t>JÖNKÖPINGS LÄN</t>
        </is>
      </c>
      <c r="G193" t="inlineStr">
        <is>
          <t>NÄSSJÖ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46302</v>
      </c>
      <c r="F194" t="inlineStr">
        <is>
          <t>JÖNKÖPINGS LÄN</t>
        </is>
      </c>
      <c r="G194" t="inlineStr">
        <is>
          <t>NÄSSJÖ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46302</v>
      </c>
      <c r="F195" t="inlineStr">
        <is>
          <t>JÖNKÖPINGS LÄN</t>
        </is>
      </c>
      <c r="G195" t="inlineStr">
        <is>
          <t>NÄSSJÖ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46302</v>
      </c>
      <c r="F196" t="inlineStr">
        <is>
          <t>JÖNKÖPINGS LÄN</t>
        </is>
      </c>
      <c r="G196" t="inlineStr">
        <is>
          <t>NÄSSJÖ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46302</v>
      </c>
      <c r="F197" t="inlineStr">
        <is>
          <t>JÖNKÖPINGS LÄN</t>
        </is>
      </c>
      <c r="G197" t="inlineStr">
        <is>
          <t>NÄSSJÖ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45402</v>
      </c>
      <c r="E198" s="1" t="n">
        <v>46302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46074</v>
      </c>
      <c r="E199" s="1" t="n">
        <v>46302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46302</v>
      </c>
      <c r="F200" t="inlineStr">
        <is>
          <t>JÖNKÖPINGS LÄN</t>
        </is>
      </c>
      <c r="G200" t="inlineStr">
        <is>
          <t>NÄSSJÖ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46079</v>
      </c>
      <c r="E201" s="1" t="n">
        <v>46302</v>
      </c>
      <c r="F201" t="inlineStr">
        <is>
          <t>JÖNKÖPINGS LÄN</t>
        </is>
      </c>
      <c r="G201" t="inlineStr">
        <is>
          <t>NÄSSJÖ</t>
        </is>
      </c>
      <c r="H201" t="inlineStr">
        <is>
          <t>Kyrkan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46302</v>
      </c>
      <c r="F202" t="inlineStr">
        <is>
          <t>JÖNKÖPINGS LÄN</t>
        </is>
      </c>
      <c r="G202" t="inlineStr">
        <is>
          <t>NÄSSJÖ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45446</v>
      </c>
      <c r="E203" s="1" t="n">
        <v>46302</v>
      </c>
      <c r="F203" t="inlineStr">
        <is>
          <t>JÖNKÖPINGS LÄN</t>
        </is>
      </c>
      <c r="G203" t="inlineStr">
        <is>
          <t>NÄSSJÖ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46302</v>
      </c>
      <c r="F204" t="inlineStr">
        <is>
          <t>JÖNKÖPINGS LÄN</t>
        </is>
      </c>
      <c r="G204" t="inlineStr">
        <is>
          <t>NÄSSJÖ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44945</v>
      </c>
      <c r="E205" s="1" t="n">
        <v>46302</v>
      </c>
      <c r="F205" t="inlineStr">
        <is>
          <t>JÖNKÖPINGS LÄN</t>
        </is>
      </c>
      <c r="G205" t="inlineStr">
        <is>
          <t>NÄSSJÖ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46302</v>
      </c>
      <c r="F206" t="inlineStr">
        <is>
          <t>JÖNKÖPINGS LÄN</t>
        </is>
      </c>
      <c r="G206" t="inlineStr">
        <is>
          <t>NÄSSJÖ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46302</v>
      </c>
      <c r="F207" t="inlineStr">
        <is>
          <t>JÖNKÖPINGS LÄN</t>
        </is>
      </c>
      <c r="G207" t="inlineStr">
        <is>
          <t>NÄSSJÖ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45046</v>
      </c>
      <c r="E208" s="1" t="n">
        <v>46302</v>
      </c>
      <c r="F208" t="inlineStr">
        <is>
          <t>JÖNKÖPINGS LÄN</t>
        </is>
      </c>
      <c r="G208" t="inlineStr">
        <is>
          <t>NÄSSJÖ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44699</v>
      </c>
      <c r="E209" s="1" t="n">
        <v>46302</v>
      </c>
      <c r="F209" t="inlineStr">
        <is>
          <t>JÖNKÖPINGS LÄN</t>
        </is>
      </c>
      <c r="G209" t="inlineStr">
        <is>
          <t>NÄSSJÖ</t>
        </is>
      </c>
      <c r="I209" t="n">
        <v>11.3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12652-2026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46091</v>
      </c>
      <c r="E210" s="1" t="n">
        <v>46302</v>
      </c>
      <c r="F210" t="inlineStr">
        <is>
          <t>JÖNKÖPINGS LÄN</t>
        </is>
      </c>
      <c r="G210" t="inlineStr">
        <is>
          <t>NÄSSJÖ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46091</v>
      </c>
      <c r="E211" s="1" t="n">
        <v>46302</v>
      </c>
      <c r="F211" t="inlineStr">
        <is>
          <t>JÖNKÖPINGS LÄN</t>
        </is>
      </c>
      <c r="G211" t="inlineStr">
        <is>
          <t>NÄSSJÖ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46302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46302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45794</v>
      </c>
      <c r="E214" s="1" t="n">
        <v>46302</v>
      </c>
      <c r="F214" t="inlineStr">
        <is>
          <t>JÖNKÖPINGS LÄN</t>
        </is>
      </c>
      <c r="G214" t="inlineStr">
        <is>
          <t>NÄSSJÖ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14016-2026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46098</v>
      </c>
      <c r="E215" s="1" t="n">
        <v>46302</v>
      </c>
      <c r="F215" t="inlineStr">
        <is>
          <t>JÖNKÖPINGS LÄN</t>
        </is>
      </c>
      <c r="G215" t="inlineStr">
        <is>
          <t>NÄSSJÖ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46302</v>
      </c>
      <c r="F216" t="inlineStr">
        <is>
          <t>JÖNKÖPINGS LÄN</t>
        </is>
      </c>
      <c r="G216" t="inlineStr">
        <is>
          <t>NÄSSJÖ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46302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46302</v>
      </c>
      <c r="F218" t="inlineStr">
        <is>
          <t>JÖNKÖPINGS LÄN</t>
        </is>
      </c>
      <c r="G218" t="inlineStr">
        <is>
          <t>NÄSSJÖ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14831-2026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46302</v>
      </c>
      <c r="F219" t="inlineStr">
        <is>
          <t>JÖNKÖPINGS LÄN</t>
        </is>
      </c>
      <c r="G219" t="inlineStr">
        <is>
          <t>NÄSSJÖ</t>
        </is>
      </c>
      <c r="H219" t="inlineStr">
        <is>
          <t>Kommuner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46302</v>
      </c>
      <c r="F220" t="inlineStr">
        <is>
          <t>JÖNKÖPINGS LÄN</t>
        </is>
      </c>
      <c r="G220" t="inlineStr">
        <is>
          <t>NÄSSJÖ</t>
        </is>
      </c>
      <c r="H220" t="inlineStr">
        <is>
          <t>Kommuner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46302</v>
      </c>
      <c r="F221" t="inlineStr">
        <is>
          <t>JÖNKÖPINGS LÄN</t>
        </is>
      </c>
      <c r="G221" t="inlineStr">
        <is>
          <t>NÄSSJÖ</t>
        </is>
      </c>
      <c r="H221" t="inlineStr">
        <is>
          <t>Kommuner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46302</v>
      </c>
      <c r="F222" t="inlineStr">
        <is>
          <t>JÖNKÖPINGS LÄN</t>
        </is>
      </c>
      <c r="G222" t="inlineStr">
        <is>
          <t>NÄSSJÖ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45942</v>
      </c>
      <c r="E223" s="1" t="n">
        <v>46302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45943</v>
      </c>
      <c r="E224" s="1" t="n">
        <v>46302</v>
      </c>
      <c r="F224" t="inlineStr">
        <is>
          <t>JÖNKÖPINGS LÄN</t>
        </is>
      </c>
      <c r="G224" t="inlineStr">
        <is>
          <t>NÄSSJÖ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46302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46302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45843</v>
      </c>
      <c r="E227" s="1" t="n">
        <v>46302</v>
      </c>
      <c r="F227" t="inlineStr">
        <is>
          <t>JÖNKÖPINGS LÄN</t>
        </is>
      </c>
      <c r="G227" t="inlineStr">
        <is>
          <t>NÄSSJÖ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45843</v>
      </c>
      <c r="E228" s="1" t="n">
        <v>46302</v>
      </c>
      <c r="F228" t="inlineStr">
        <is>
          <t>JÖNKÖPINGS LÄN</t>
        </is>
      </c>
      <c r="G228" t="inlineStr">
        <is>
          <t>NÄSSJÖ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45843</v>
      </c>
      <c r="E229" s="1" t="n">
        <v>46302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50439-2025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45944</v>
      </c>
      <c r="E230" s="1" t="n">
        <v>46302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15171-2026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46302</v>
      </c>
      <c r="F231" t="inlineStr">
        <is>
          <t>JÖNKÖPINGS LÄN</t>
        </is>
      </c>
      <c r="G231" t="inlineStr">
        <is>
          <t>NÄSSJÖ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45747</v>
      </c>
      <c r="E232" s="1" t="n">
        <v>46302</v>
      </c>
      <c r="F232" t="inlineStr">
        <is>
          <t>JÖNKÖPINGS LÄN</t>
        </is>
      </c>
      <c r="G232" t="inlineStr">
        <is>
          <t>NÄSSJÖ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46302</v>
      </c>
      <c r="F233" t="inlineStr">
        <is>
          <t>JÖNKÖPINGS LÄN</t>
        </is>
      </c>
      <c r="G233" t="inlineStr">
        <is>
          <t>NÄSSJÖ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46302</v>
      </c>
      <c r="F234" t="inlineStr">
        <is>
          <t>JÖNKÖPINGS LÄN</t>
        </is>
      </c>
      <c r="G234" t="inlineStr">
        <is>
          <t>NÄSSJÖ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46302</v>
      </c>
      <c r="F235" t="inlineStr">
        <is>
          <t>JÖNKÖPINGS LÄN</t>
        </is>
      </c>
      <c r="G235" t="inlineStr">
        <is>
          <t>NÄSSJÖ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46302</v>
      </c>
      <c r="F236" t="inlineStr">
        <is>
          <t>JÖNKÖPINGS LÄN</t>
        </is>
      </c>
      <c r="G236" t="inlineStr">
        <is>
          <t>NÄSSJÖ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16413-2026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46302</v>
      </c>
      <c r="F237" t="inlineStr">
        <is>
          <t>JÖNKÖPINGS LÄN</t>
        </is>
      </c>
      <c r="G237" t="inlineStr">
        <is>
          <t>NÄSSJÖ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46302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9943-2025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46302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45721</v>
      </c>
      <c r="E240" s="1" t="n">
        <v>46302</v>
      </c>
      <c r="F240" t="inlineStr">
        <is>
          <t>JÖNKÖPINGS LÄN</t>
        </is>
      </c>
      <c r="G240" t="inlineStr">
        <is>
          <t>NÄSSJÖ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46302</v>
      </c>
      <c r="F241" t="inlineStr">
        <is>
          <t>JÖNKÖPINGS LÄN</t>
        </is>
      </c>
      <c r="G241" t="inlineStr">
        <is>
          <t>NÄSSJÖ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46120</v>
      </c>
      <c r="E242" s="1" t="n">
        <v>46302</v>
      </c>
      <c r="F242" t="inlineStr">
        <is>
          <t>JÖNKÖPINGS LÄN</t>
        </is>
      </c>
      <c r="G242" t="inlineStr">
        <is>
          <t>NÄSSJÖ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46302</v>
      </c>
      <c r="F243" t="inlineStr">
        <is>
          <t>JÖNKÖPINGS LÄN</t>
        </is>
      </c>
      <c r="G243" t="inlineStr">
        <is>
          <t>NÄSSJÖ</t>
        </is>
      </c>
      <c r="I243" t="n">
        <v>13.7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46302</v>
      </c>
      <c r="F244" t="inlineStr">
        <is>
          <t>JÖNKÖPINGS LÄN</t>
        </is>
      </c>
      <c r="G244" t="inlineStr">
        <is>
          <t>NÄSSJÖ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45732</v>
      </c>
      <c r="E245" s="1" t="n">
        <v>46302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45732</v>
      </c>
      <c r="E246" s="1" t="n">
        <v>46302</v>
      </c>
      <c r="F246" t="inlineStr">
        <is>
          <t>JÖNKÖPINGS LÄN</t>
        </is>
      </c>
      <c r="G246" t="inlineStr">
        <is>
          <t>NÄSSJÖ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46302</v>
      </c>
      <c r="F247" t="inlineStr">
        <is>
          <t>JÖNKÖPINGS LÄN</t>
        </is>
      </c>
      <c r="G247" t="inlineStr">
        <is>
          <t>NÄSSJÖ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44904</v>
      </c>
      <c r="E248" s="1" t="n">
        <v>46302</v>
      </c>
      <c r="F248" t="inlineStr">
        <is>
          <t>JÖNKÖPINGS LÄN</t>
        </is>
      </c>
      <c r="G248" t="inlineStr">
        <is>
          <t>NÄSSJÖ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57918-2021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44487</v>
      </c>
      <c r="E249" s="1" t="n">
        <v>46302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46302</v>
      </c>
      <c r="F250" t="inlineStr">
        <is>
          <t>JÖNKÖPINGS LÄN</t>
        </is>
      </c>
      <c r="G250" t="inlineStr">
        <is>
          <t>NÄSSJÖ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45881</v>
      </c>
      <c r="E251" s="1" t="n">
        <v>46302</v>
      </c>
      <c r="F251" t="inlineStr">
        <is>
          <t>JÖNKÖPINGS LÄN</t>
        </is>
      </c>
      <c r="G251" t="inlineStr">
        <is>
          <t>NÄSSJÖ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46302</v>
      </c>
      <c r="F252" t="inlineStr">
        <is>
          <t>JÖNKÖPINGS LÄN</t>
        </is>
      </c>
      <c r="G252" t="inlineStr">
        <is>
          <t>NÄSSJÖ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45881</v>
      </c>
      <c r="E253" s="1" t="n">
        <v>46302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46129</v>
      </c>
      <c r="E254" s="1" t="n">
        <v>46302</v>
      </c>
      <c r="F254" t="inlineStr">
        <is>
          <t>JÖNKÖPINGS LÄN</t>
        </is>
      </c>
      <c r="G254" t="inlineStr">
        <is>
          <t>NÄSSJÖ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46302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46302</v>
      </c>
      <c r="F256" t="inlineStr">
        <is>
          <t>JÖNKÖPINGS LÄN</t>
        </is>
      </c>
      <c r="G256" t="inlineStr">
        <is>
          <t>NÄSSJÖ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45322</v>
      </c>
      <c r="E257" s="1" t="n">
        <v>46302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45742</v>
      </c>
      <c r="E258" s="1" t="n">
        <v>46302</v>
      </c>
      <c r="F258" t="inlineStr">
        <is>
          <t>JÖNKÖPINGS LÄN</t>
        </is>
      </c>
      <c r="G258" t="inlineStr">
        <is>
          <t>NÄSSJÖ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46302</v>
      </c>
      <c r="F259" t="inlineStr">
        <is>
          <t>JÖNKÖPINGS LÄN</t>
        </is>
      </c>
      <c r="G259" t="inlineStr">
        <is>
          <t>NÄSSJÖ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46302</v>
      </c>
      <c r="F260" t="inlineStr">
        <is>
          <t>JÖNKÖPINGS LÄN</t>
        </is>
      </c>
      <c r="G260" t="inlineStr">
        <is>
          <t>NÄSSJÖ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46302</v>
      </c>
      <c r="F261" t="inlineStr">
        <is>
          <t>JÖNKÖPINGS LÄN</t>
        </is>
      </c>
      <c r="G261" t="inlineStr">
        <is>
          <t>NÄSSJÖ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46302</v>
      </c>
      <c r="F262" t="inlineStr">
        <is>
          <t>JÖNKÖPINGS LÄN</t>
        </is>
      </c>
      <c r="G262" t="inlineStr">
        <is>
          <t>NÄSSJÖ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46302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46302</v>
      </c>
      <c r="F264" t="inlineStr">
        <is>
          <t>JÖNKÖPINGS LÄN</t>
        </is>
      </c>
      <c r="G264" t="inlineStr">
        <is>
          <t>NÄSSJÖ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46302</v>
      </c>
      <c r="F265" t="inlineStr">
        <is>
          <t>JÖNKÖPINGS LÄN</t>
        </is>
      </c>
      <c r="G265" t="inlineStr">
        <is>
          <t>NÄSSJÖ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46302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  <c r="Z266">
        <f>HYPERLINK("https://klasma.github.io/Logging_0682/knärot/A 56586-2025 karta knärot.png", "A 56586-2025")</f>
        <v/>
      </c>
      <c r="AA266">
        <f>HYPERLINK("https://klasma.github.io/Logging_0682/klagomål/A 56586-2025 FSC-klagomål.docx", "A 56586-2025")</f>
        <v/>
      </c>
      <c r="AB266">
        <f>HYPERLINK("https://klasma.github.io/Logging_0682/klagomålsmail/A 56586-2025 FSC-klagomål mail.docx", "A 56586-2025")</f>
        <v/>
      </c>
      <c r="AC266">
        <f>HYPERLINK("https://klasma.github.io/Logging_0682/tillsyn/A 56586-2025 tillsynsbegäran.docx", "A 56586-2025")</f>
        <v/>
      </c>
      <c r="AD266">
        <f>HYPERLINK("https://klasma.github.io/Logging_0682/tillsynsmail/A 56586-2025 tillsynsbegäran mail.docx", "A 56586-2025")</f>
        <v/>
      </c>
    </row>
    <row r="267" ht="15" customHeight="1">
      <c r="A267" t="inlineStr">
        <is>
          <t>A 49661-2023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46302</v>
      </c>
      <c r="F267" t="inlineStr">
        <is>
          <t>JÖNKÖPINGS LÄN</t>
        </is>
      </c>
      <c r="G267" t="inlineStr">
        <is>
          <t>NÄSSJÖ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46302</v>
      </c>
      <c r="F268" t="inlineStr">
        <is>
          <t>JÖNKÖPINGS LÄN</t>
        </is>
      </c>
      <c r="G268" t="inlineStr">
        <is>
          <t>NÄSSJÖ</t>
        </is>
      </c>
      <c r="H268" t="inlineStr">
        <is>
          <t>Kommuner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46302</v>
      </c>
      <c r="F269" t="inlineStr">
        <is>
          <t>JÖNKÖPINGS LÄN</t>
        </is>
      </c>
      <c r="G269" t="inlineStr">
        <is>
          <t>NÄSSJÖ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44939</v>
      </c>
      <c r="E270" s="1" t="n">
        <v>46302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46302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45692</v>
      </c>
      <c r="E272" s="1" t="n">
        <v>46302</v>
      </c>
      <c r="F272" t="inlineStr">
        <is>
          <t>JÖNKÖPINGS LÄN</t>
        </is>
      </c>
      <c r="G272" t="inlineStr">
        <is>
          <t>NÄSSJÖ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46302</v>
      </c>
      <c r="F273" t="inlineStr">
        <is>
          <t>JÖNKÖPINGS LÄN</t>
        </is>
      </c>
      <c r="G273" t="inlineStr">
        <is>
          <t>NÄSSJÖ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45083</v>
      </c>
      <c r="E274" s="1" t="n">
        <v>46302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46302</v>
      </c>
      <c r="F275" t="inlineStr">
        <is>
          <t>JÖNKÖPINGS LÄN</t>
        </is>
      </c>
      <c r="G275" t="inlineStr">
        <is>
          <t>NÄSSJÖ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46302</v>
      </c>
      <c r="F276" t="inlineStr">
        <is>
          <t>JÖNKÖPINGS LÄN</t>
        </is>
      </c>
      <c r="G276" t="inlineStr">
        <is>
          <t>NÄSSJÖ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46302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44873</v>
      </c>
      <c r="E278" s="1" t="n">
        <v>46302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46302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46302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46302</v>
      </c>
      <c r="F281" t="inlineStr">
        <is>
          <t>JÖNKÖPINGS LÄN</t>
        </is>
      </c>
      <c r="G281" t="inlineStr">
        <is>
          <t>NÄSSJÖ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46302</v>
      </c>
      <c r="F282" t="inlineStr">
        <is>
          <t>JÖNKÖPINGS LÄN</t>
        </is>
      </c>
      <c r="G282" t="inlineStr">
        <is>
          <t>NÄSSJÖ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46302</v>
      </c>
      <c r="F283" t="inlineStr">
        <is>
          <t>JÖNKÖPINGS LÄN</t>
        </is>
      </c>
      <c r="G283" t="inlineStr">
        <is>
          <t>NÄSSJÖ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46302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46302</v>
      </c>
      <c r="F285" t="inlineStr">
        <is>
          <t>JÖNKÖPINGS LÄN</t>
        </is>
      </c>
      <c r="G285" t="inlineStr">
        <is>
          <t>NÄSSJÖ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46302</v>
      </c>
      <c r="F286" t="inlineStr">
        <is>
          <t>JÖNKÖPINGS LÄN</t>
        </is>
      </c>
      <c r="G286" t="inlineStr">
        <is>
          <t>NÄSSJÖ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11020-2024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45370</v>
      </c>
      <c r="E287" s="1" t="n">
        <v>46302</v>
      </c>
      <c r="F287" t="inlineStr">
        <is>
          <t>JÖNKÖPINGS LÄN</t>
        </is>
      </c>
      <c r="G287" t="inlineStr">
        <is>
          <t>NÄSSJÖ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46302</v>
      </c>
      <c r="F288" t="inlineStr">
        <is>
          <t>JÖNKÖPINGS LÄN</t>
        </is>
      </c>
      <c r="G288" t="inlineStr">
        <is>
          <t>NÄSSJÖ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60535-2025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45995</v>
      </c>
      <c r="E289" s="1" t="n">
        <v>46302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46302</v>
      </c>
      <c r="F290" t="inlineStr">
        <is>
          <t>JÖNKÖPINGS LÄN</t>
        </is>
      </c>
      <c r="G290" t="inlineStr">
        <is>
          <t>NÄSSJÖ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46302</v>
      </c>
      <c r="F291" t="inlineStr">
        <is>
          <t>JÖNKÖPINGS LÄN</t>
        </is>
      </c>
      <c r="G291" t="inlineStr">
        <is>
          <t>NÄSSJÖ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46302</v>
      </c>
      <c r="F292" t="inlineStr">
        <is>
          <t>JÖNKÖPINGS LÄN</t>
        </is>
      </c>
      <c r="G292" t="inlineStr">
        <is>
          <t>NÄSSJÖ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44594</v>
      </c>
      <c r="E293" s="1" t="n">
        <v>46302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46008</v>
      </c>
      <c r="E294" s="1" t="n">
        <v>46302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45733</v>
      </c>
      <c r="E295" s="1" t="n">
        <v>46302</v>
      </c>
      <c r="F295" t="inlineStr">
        <is>
          <t>JÖNKÖPINGS LÄN</t>
        </is>
      </c>
      <c r="G295" t="inlineStr">
        <is>
          <t>NÄSSJÖ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20606-2026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46140</v>
      </c>
      <c r="E296" s="1" t="n">
        <v>46302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45694</v>
      </c>
      <c r="E297" s="1" t="n">
        <v>46302</v>
      </c>
      <c r="F297" t="inlineStr">
        <is>
          <t>JÖNKÖPINGS LÄN</t>
        </is>
      </c>
      <c r="G297" t="inlineStr">
        <is>
          <t>NÄSSJÖ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63987-2025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46021</v>
      </c>
      <c r="E298" s="1" t="n">
        <v>46302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46146</v>
      </c>
      <c r="E299" s="1" t="n">
        <v>46302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46302</v>
      </c>
      <c r="F300" t="inlineStr">
        <is>
          <t>JÖNKÖPINGS LÄN</t>
        </is>
      </c>
      <c r="G300" t="inlineStr">
        <is>
          <t>NÄSSJÖ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45083</v>
      </c>
      <c r="E301" s="1" t="n">
        <v>46302</v>
      </c>
      <c r="F301" t="inlineStr">
        <is>
          <t>JÖNKÖPINGS LÄN</t>
        </is>
      </c>
      <c r="G301" t="inlineStr">
        <is>
          <t>NÄSSJÖ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45358</v>
      </c>
      <c r="E302" s="1" t="n">
        <v>46302</v>
      </c>
      <c r="F302" t="inlineStr">
        <is>
          <t>JÖNKÖPINGS LÄN</t>
        </is>
      </c>
      <c r="G302" t="inlineStr">
        <is>
          <t>NÄSSJÖ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46302</v>
      </c>
      <c r="F303" t="inlineStr">
        <is>
          <t>JÖNKÖPINGS LÄN</t>
        </is>
      </c>
      <c r="G303" t="inlineStr">
        <is>
          <t>NÄSSJÖ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22408-2026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46302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46302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46302</v>
      </c>
      <c r="F306" t="inlineStr">
        <is>
          <t>JÖNKÖPINGS LÄN</t>
        </is>
      </c>
      <c r="G306" t="inlineStr">
        <is>
          <t>NÄSSJÖ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46302</v>
      </c>
      <c r="F307" t="inlineStr">
        <is>
          <t>JÖNKÖPINGS LÄN</t>
        </is>
      </c>
      <c r="G307" t="inlineStr">
        <is>
          <t>NÄSSJÖ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46302</v>
      </c>
      <c r="F308" t="inlineStr">
        <is>
          <t>JÖNKÖPINGS LÄN</t>
        </is>
      </c>
      <c r="G308" t="inlineStr">
        <is>
          <t>NÄSSJÖ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46302</v>
      </c>
      <c r="F309" t="inlineStr">
        <is>
          <t>JÖNKÖPINGS LÄN</t>
        </is>
      </c>
      <c r="G309" t="inlineStr">
        <is>
          <t>NÄSSJÖ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46302</v>
      </c>
      <c r="F310" t="inlineStr">
        <is>
          <t>JÖNKÖPINGS LÄN</t>
        </is>
      </c>
      <c r="G310" t="inlineStr">
        <is>
          <t>NÄSSJÖ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44946</v>
      </c>
      <c r="E311" s="1" t="n">
        <v>46302</v>
      </c>
      <c r="F311" t="inlineStr">
        <is>
          <t>JÖNKÖPINGS LÄN</t>
        </is>
      </c>
      <c r="G311" t="inlineStr">
        <is>
          <t>NÄSSJÖ</t>
        </is>
      </c>
      <c r="I311" t="n">
        <v>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46302</v>
      </c>
      <c r="F312" t="inlineStr">
        <is>
          <t>JÖNKÖPINGS LÄN</t>
        </is>
      </c>
      <c r="G312" t="inlineStr">
        <is>
          <t>NÄSSJÖ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44956</v>
      </c>
      <c r="E313" s="1" t="n">
        <v>46302</v>
      </c>
      <c r="F313" t="inlineStr">
        <is>
          <t>JÖNKÖPINGS LÄN</t>
        </is>
      </c>
      <c r="G313" t="inlineStr">
        <is>
          <t>NÄSSJÖ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46302</v>
      </c>
      <c r="F314" t="inlineStr">
        <is>
          <t>JÖNKÖPINGS LÄN</t>
        </is>
      </c>
      <c r="G314" t="inlineStr">
        <is>
          <t>NÄSSJÖ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46302</v>
      </c>
      <c r="F315" t="inlineStr">
        <is>
          <t>JÖNKÖPINGS LÄN</t>
        </is>
      </c>
      <c r="G315" t="inlineStr">
        <is>
          <t>NÄSSJÖ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24873-2026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46174</v>
      </c>
      <c r="E316" s="1" t="n">
        <v>46302</v>
      </c>
      <c r="F316" t="inlineStr">
        <is>
          <t>JÖNKÖPINGS LÄN</t>
        </is>
      </c>
      <c r="G316" t="inlineStr">
        <is>
          <t>NÄSSJÖ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46302</v>
      </c>
      <c r="F317" t="inlineStr">
        <is>
          <t>JÖNKÖPINGS LÄN</t>
        </is>
      </c>
      <c r="G317" t="inlineStr">
        <is>
          <t>NÄSSJÖ</t>
        </is>
      </c>
      <c r="H317" t="inlineStr">
        <is>
          <t>Sveaskog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46302</v>
      </c>
      <c r="F318" t="inlineStr">
        <is>
          <t>JÖNKÖPINGS LÄN</t>
        </is>
      </c>
      <c r="G318" t="inlineStr">
        <is>
          <t>NÄSSJÖ</t>
        </is>
      </c>
      <c r="H318" t="inlineStr">
        <is>
          <t>Sveaskog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45106</v>
      </c>
      <c r="E319" s="1" t="n">
        <v>46302</v>
      </c>
      <c r="F319" t="inlineStr">
        <is>
          <t>JÖNKÖPINGS LÄN</t>
        </is>
      </c>
      <c r="G319" t="inlineStr">
        <is>
          <t>NÄSSJÖ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45412</v>
      </c>
      <c r="E320" s="1" t="n">
        <v>46302</v>
      </c>
      <c r="F320" t="inlineStr">
        <is>
          <t>JÖNKÖPINGS LÄN</t>
        </is>
      </c>
      <c r="G320" t="inlineStr">
        <is>
          <t>NÄSSJÖ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45601</v>
      </c>
      <c r="E321" s="1" t="n">
        <v>46302</v>
      </c>
      <c r="F321" t="inlineStr">
        <is>
          <t>JÖNKÖPINGS LÄN</t>
        </is>
      </c>
      <c r="G321" t="inlineStr">
        <is>
          <t>NÄSSJÖ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46302</v>
      </c>
      <c r="F322" t="inlineStr">
        <is>
          <t>JÖNKÖPINGS LÄN</t>
        </is>
      </c>
      <c r="G322" t="inlineStr">
        <is>
          <t>NÄSSJÖ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44980</v>
      </c>
      <c r="E323" s="1" t="n">
        <v>46302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46187</v>
      </c>
      <c r="E324" s="1" t="n">
        <v>46302</v>
      </c>
      <c r="F324" t="inlineStr">
        <is>
          <t>JÖNKÖPINGS LÄN</t>
        </is>
      </c>
      <c r="G324" t="inlineStr">
        <is>
          <t>NÄSSJÖ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46187</v>
      </c>
      <c r="E325" s="1" t="n">
        <v>46302</v>
      </c>
      <c r="F325" t="inlineStr">
        <is>
          <t>JÖNKÖPINGS LÄN</t>
        </is>
      </c>
      <c r="G325" t="inlineStr">
        <is>
          <t>NÄSSJÖ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45361</v>
      </c>
      <c r="E326" s="1" t="n">
        <v>46302</v>
      </c>
      <c r="F326" t="inlineStr">
        <is>
          <t>JÖNKÖPINGS LÄN</t>
        </is>
      </c>
      <c r="G326" t="inlineStr">
        <is>
          <t>NÄSSJÖ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46187</v>
      </c>
      <c r="E327" s="1" t="n">
        <v>46302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46302</v>
      </c>
      <c r="F328" t="inlineStr">
        <is>
          <t>JÖNKÖPINGS LÄN</t>
        </is>
      </c>
      <c r="G328" t="inlineStr">
        <is>
          <t>NÄSSJÖ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71606-2021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44541</v>
      </c>
      <c r="E329" s="1" t="n">
        <v>46302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46302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46302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46302</v>
      </c>
      <c r="F332" t="inlineStr">
        <is>
          <t>JÖNKÖPINGS LÄN</t>
        </is>
      </c>
      <c r="G332" t="inlineStr">
        <is>
          <t>NÄSSJÖ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45328</v>
      </c>
      <c r="E333" s="1" t="n">
        <v>46302</v>
      </c>
      <c r="F333" t="inlineStr">
        <is>
          <t>JÖNKÖPINGS LÄN</t>
        </is>
      </c>
      <c r="G333" t="inlineStr">
        <is>
          <t>NÄSSJÖ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46302</v>
      </c>
      <c r="F334" t="inlineStr">
        <is>
          <t>JÖNKÖPINGS LÄN</t>
        </is>
      </c>
      <c r="G334" t="inlineStr">
        <is>
          <t>NÄSSJÖ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45277</v>
      </c>
      <c r="E335" s="1" t="n">
        <v>46302</v>
      </c>
      <c r="F335" t="inlineStr">
        <is>
          <t>JÖNKÖPINGS LÄN</t>
        </is>
      </c>
      <c r="G335" t="inlineStr">
        <is>
          <t>NÄSSJÖ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46302</v>
      </c>
      <c r="F336" t="inlineStr">
        <is>
          <t>JÖNKÖPINGS LÄN</t>
        </is>
      </c>
      <c r="G336" t="inlineStr">
        <is>
          <t>NÄSSJÖ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22783-2024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46302</v>
      </c>
      <c r="F337" t="inlineStr">
        <is>
          <t>JÖNKÖPINGS LÄN</t>
        </is>
      </c>
      <c r="G337" t="inlineStr">
        <is>
          <t>NÄSSJÖ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46302</v>
      </c>
      <c r="F338" t="inlineStr">
        <is>
          <t>JÖNKÖPINGS LÄN</t>
        </is>
      </c>
      <c r="G338" t="inlineStr">
        <is>
          <t>NÄSSJÖ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46302</v>
      </c>
      <c r="F339" t="inlineStr">
        <is>
          <t>JÖNKÖPINGS LÄN</t>
        </is>
      </c>
      <c r="G339" t="inlineStr">
        <is>
          <t>NÄSSJÖ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46302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45702</v>
      </c>
      <c r="E341" s="1" t="n">
        <v>46302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28298-2026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46196</v>
      </c>
      <c r="E342" s="1" t="n">
        <v>46302</v>
      </c>
      <c r="F342" t="inlineStr">
        <is>
          <t>JÖNKÖPINGS LÄN</t>
        </is>
      </c>
      <c r="G342" t="inlineStr">
        <is>
          <t>NÄSSJÖ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46302</v>
      </c>
      <c r="F343" t="inlineStr">
        <is>
          <t>JÖNKÖPINGS LÄN</t>
        </is>
      </c>
      <c r="G343" t="inlineStr">
        <is>
          <t>NÄSSJÖ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46302</v>
      </c>
      <c r="F344" t="inlineStr">
        <is>
          <t>JÖNKÖPINGS LÄN</t>
        </is>
      </c>
      <c r="G344" t="inlineStr">
        <is>
          <t>NÄSSJÖ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45212</v>
      </c>
      <c r="E345" s="1" t="n">
        <v>46302</v>
      </c>
      <c r="F345" t="inlineStr">
        <is>
          <t>JÖNKÖPINGS LÄN</t>
        </is>
      </c>
      <c r="G345" t="inlineStr">
        <is>
          <t>NÄSSJÖ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45363</v>
      </c>
      <c r="E346" s="1" t="n">
        <v>46302</v>
      </c>
      <c r="F346" t="inlineStr">
        <is>
          <t>JÖNKÖPINGS LÄN</t>
        </is>
      </c>
      <c r="G346" t="inlineStr">
        <is>
          <t>NÄSSJÖ</t>
        </is>
      </c>
      <c r="H346" t="inlineStr">
        <is>
          <t>Kommuner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46302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46302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13912-2024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45391</v>
      </c>
      <c r="E349" s="1" t="n">
        <v>46302</v>
      </c>
      <c r="F349" t="inlineStr">
        <is>
          <t>JÖNKÖPINGS LÄN</t>
        </is>
      </c>
      <c r="G349" t="inlineStr">
        <is>
          <t>NÄSSJÖ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45391</v>
      </c>
      <c r="E350" s="1" t="n">
        <v>46302</v>
      </c>
      <c r="F350" t="inlineStr">
        <is>
          <t>JÖNKÖPINGS LÄN</t>
        </is>
      </c>
      <c r="G350" t="inlineStr">
        <is>
          <t>NÄSSJÖ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45299</v>
      </c>
      <c r="E351" s="1" t="n">
        <v>46302</v>
      </c>
      <c r="F351" t="inlineStr">
        <is>
          <t>JÖNKÖPINGS LÄN</t>
        </is>
      </c>
      <c r="G351" t="inlineStr">
        <is>
          <t>NÄSSJÖ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46302</v>
      </c>
      <c r="F352" t="inlineStr">
        <is>
          <t>JÖNKÖPINGS LÄN</t>
        </is>
      </c>
      <c r="G352" t="inlineStr">
        <is>
          <t>NÄSSJÖ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46302</v>
      </c>
      <c r="F353" t="inlineStr">
        <is>
          <t>JÖNKÖPINGS LÄN</t>
        </is>
      </c>
      <c r="G353" t="inlineStr">
        <is>
          <t>NÄSSJÖ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45118</v>
      </c>
      <c r="E354" s="1" t="n">
        <v>46302</v>
      </c>
      <c r="F354" t="inlineStr">
        <is>
          <t>JÖNKÖPINGS LÄN</t>
        </is>
      </c>
      <c r="G354" t="inlineStr">
        <is>
          <t>NÄSSJÖ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44928</v>
      </c>
      <c r="E355" s="1" t="n">
        <v>46302</v>
      </c>
      <c r="F355" t="inlineStr">
        <is>
          <t>JÖNKÖPINGS LÄN</t>
        </is>
      </c>
      <c r="G355" t="inlineStr">
        <is>
          <t>NÄSSJÖ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45279</v>
      </c>
      <c r="E356" s="1" t="n">
        <v>46302</v>
      </c>
      <c r="F356" t="inlineStr">
        <is>
          <t>JÖNKÖPINGS LÄN</t>
        </is>
      </c>
      <c r="G356" t="inlineStr">
        <is>
          <t>NÄSSJÖ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45188</v>
      </c>
      <c r="E357" s="1" t="n">
        <v>46302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44804</v>
      </c>
      <c r="E358" s="1" t="n">
        <v>46302</v>
      </c>
      <c r="F358" t="inlineStr">
        <is>
          <t>JÖNKÖPINGS LÄN</t>
        </is>
      </c>
      <c r="G358" t="inlineStr">
        <is>
          <t>NÄSSJÖ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56411-2024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45625</v>
      </c>
      <c r="E359" s="1" t="n">
        <v>46302</v>
      </c>
      <c r="F359" t="inlineStr">
        <is>
          <t>JÖNKÖPINGS LÄN</t>
        </is>
      </c>
      <c r="G359" t="inlineStr">
        <is>
          <t>NÄSSJÖ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46302</v>
      </c>
      <c r="F360" t="inlineStr">
        <is>
          <t>JÖNKÖPINGS LÄN</t>
        </is>
      </c>
      <c r="G360" t="inlineStr">
        <is>
          <t>NÄSSJÖ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45644</v>
      </c>
      <c r="E361" s="1" t="n">
        <v>46302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45454</v>
      </c>
      <c r="E362" s="1" t="n">
        <v>46302</v>
      </c>
      <c r="F362" t="inlineStr">
        <is>
          <t>JÖNKÖPINGS LÄN</t>
        </is>
      </c>
      <c r="G362" t="inlineStr">
        <is>
          <t>NÄSSJÖ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46302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46302</v>
      </c>
      <c r="F364" t="inlineStr">
        <is>
          <t>JÖNKÖPINGS LÄN</t>
        </is>
      </c>
      <c r="G364" t="inlineStr">
        <is>
          <t>NÄSSJÖ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44956</v>
      </c>
      <c r="E365" s="1" t="n">
        <v>46302</v>
      </c>
      <c r="F365" t="inlineStr">
        <is>
          <t>JÖNKÖPINGS LÄN</t>
        </is>
      </c>
      <c r="G365" t="inlineStr">
        <is>
          <t>NÄSSJÖ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46302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46302</v>
      </c>
      <c r="F367" t="inlineStr">
        <is>
          <t>JÖNKÖPINGS LÄN</t>
        </is>
      </c>
      <c r="G367" t="inlineStr">
        <is>
          <t>NÄSSJÖ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45460</v>
      </c>
      <c r="E368" s="1" t="n">
        <v>46302</v>
      </c>
      <c r="F368" t="inlineStr">
        <is>
          <t>JÖNKÖPINGS LÄN</t>
        </is>
      </c>
      <c r="G368" t="inlineStr">
        <is>
          <t>NÄSSJÖ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46302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45209</v>
      </c>
      <c r="E370" s="1" t="n">
        <v>46302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46302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46302</v>
      </c>
      <c r="F372" t="inlineStr">
        <is>
          <t>JÖNKÖPINGS LÄN</t>
        </is>
      </c>
      <c r="G372" t="inlineStr">
        <is>
          <t>NÄSSJÖ</t>
        </is>
      </c>
      <c r="H372" t="inlineStr">
        <is>
          <t>Sveaskog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46302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46302</v>
      </c>
      <c r="F374" t="inlineStr">
        <is>
          <t>JÖNKÖPINGS LÄN</t>
        </is>
      </c>
      <c r="G374" t="inlineStr">
        <is>
          <t>NÄSSJÖ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46302</v>
      </c>
      <c r="F375" t="inlineStr">
        <is>
          <t>JÖNKÖPINGS LÄN</t>
        </is>
      </c>
      <c r="G375" t="inlineStr">
        <is>
          <t>NÄSSJÖ</t>
        </is>
      </c>
      <c r="H375" t="inlineStr">
        <is>
          <t>Sveaskog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30382-2026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46209</v>
      </c>
      <c r="E376" s="1" t="n">
        <v>46302</v>
      </c>
      <c r="F376" t="inlineStr">
        <is>
          <t>JÖNKÖPINGS LÄN</t>
        </is>
      </c>
      <c r="G376" t="inlineStr">
        <is>
          <t>NÄSSJÖ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45320</v>
      </c>
      <c r="E377" s="1" t="n">
        <v>46302</v>
      </c>
      <c r="F377" t="inlineStr">
        <is>
          <t>JÖNKÖPINGS LÄN</t>
        </is>
      </c>
      <c r="G377" t="inlineStr">
        <is>
          <t>NÄSSJÖ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11480-2024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45372</v>
      </c>
      <c r="E378" s="1" t="n">
        <v>46302</v>
      </c>
      <c r="F378" t="inlineStr">
        <is>
          <t>JÖNKÖPINGS LÄN</t>
        </is>
      </c>
      <c r="G378" t="inlineStr">
        <is>
          <t>NÄSSJÖ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45372</v>
      </c>
      <c r="E379" s="1" t="n">
        <v>46302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43156-2024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45567</v>
      </c>
      <c r="E380" s="1" t="n">
        <v>46302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45343</v>
      </c>
      <c r="E381" s="1" t="n">
        <v>46302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46302</v>
      </c>
      <c r="F382" t="inlineStr">
        <is>
          <t>JÖNKÖPINGS LÄN</t>
        </is>
      </c>
      <c r="G382" t="inlineStr">
        <is>
          <t>NÄSSJÖ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45566</v>
      </c>
      <c r="E383" s="1" t="n">
        <v>46302</v>
      </c>
      <c r="F383" t="inlineStr">
        <is>
          <t>JÖNKÖPINGS LÄN</t>
        </is>
      </c>
      <c r="G383" t="inlineStr">
        <is>
          <t>NÄSSJÖ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43625-2023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45184</v>
      </c>
      <c r="E384" s="1" t="n">
        <v>46302</v>
      </c>
      <c r="F384" t="inlineStr">
        <is>
          <t>JÖNKÖPINGS LÄN</t>
        </is>
      </c>
      <c r="G384" t="inlineStr">
        <is>
          <t>NÄSSJÖ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45154</v>
      </c>
      <c r="E385" s="1" t="n">
        <v>46302</v>
      </c>
      <c r="F385" t="inlineStr">
        <is>
          <t>JÖNKÖPINGS LÄN</t>
        </is>
      </c>
      <c r="G385" t="inlineStr">
        <is>
          <t>NÄSSJÖ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45154</v>
      </c>
      <c r="E386" s="1" t="n">
        <v>46302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46212</v>
      </c>
      <c r="E387" s="1" t="n">
        <v>46302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46302</v>
      </c>
      <c r="F388" t="inlineStr">
        <is>
          <t>JÖNKÖPINGS LÄN</t>
        </is>
      </c>
      <c r="G388" t="inlineStr">
        <is>
          <t>NÄSSJÖ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15862-2022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44664</v>
      </c>
      <c r="E389" s="1" t="n">
        <v>46302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45630</v>
      </c>
      <c r="E390" s="1" t="n">
        <v>46302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46302</v>
      </c>
      <c r="F391" t="inlineStr">
        <is>
          <t>JÖNKÖPINGS LÄN</t>
        </is>
      </c>
      <c r="G391" t="inlineStr">
        <is>
          <t>NÄSSJÖ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46302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52718-2024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45610</v>
      </c>
      <c r="E393" s="1" t="n">
        <v>46302</v>
      </c>
      <c r="F393" t="inlineStr">
        <is>
          <t>JÖNKÖPINGS LÄN</t>
        </is>
      </c>
      <c r="G393" t="inlineStr">
        <is>
          <t>NÄSSJÖ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45694</v>
      </c>
      <c r="E394" s="1" t="n">
        <v>46302</v>
      </c>
      <c r="F394" t="inlineStr">
        <is>
          <t>JÖNKÖPINGS LÄN</t>
        </is>
      </c>
      <c r="G394" t="inlineStr">
        <is>
          <t>NÄSSJÖ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46260</v>
      </c>
      <c r="E395" s="1" t="n">
        <v>46302</v>
      </c>
      <c r="F395" t="inlineStr">
        <is>
          <t>JÖNKÖPINGS LÄN</t>
        </is>
      </c>
      <c r="G395" t="inlineStr">
        <is>
          <t>NÄSSJÖ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46302</v>
      </c>
      <c r="F396" t="inlineStr">
        <is>
          <t>JÖNKÖPINGS LÄN</t>
        </is>
      </c>
      <c r="G396" t="inlineStr">
        <is>
          <t>NÄSSJÖ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46302</v>
      </c>
      <c r="F397" t="inlineStr">
        <is>
          <t>JÖNKÖPINGS LÄN</t>
        </is>
      </c>
      <c r="G397" t="inlineStr">
        <is>
          <t>NÄSSJÖ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46302</v>
      </c>
      <c r="F398" t="inlineStr">
        <is>
          <t>JÖNKÖPINGS LÄN</t>
        </is>
      </c>
      <c r="G398" t="inlineStr">
        <is>
          <t>NÄSSJÖ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44858</v>
      </c>
      <c r="E399" s="1" t="n">
        <v>46302</v>
      </c>
      <c r="F399" t="inlineStr">
        <is>
          <t>JÖNKÖPINGS LÄN</t>
        </is>
      </c>
      <c r="G399" t="inlineStr">
        <is>
          <t>NÄSSJÖ</t>
        </is>
      </c>
      <c r="H399" t="inlineStr">
        <is>
          <t>Kommuner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45270</v>
      </c>
      <c r="E400" s="1" t="n">
        <v>46302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47709-2023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46302</v>
      </c>
      <c r="F401" t="inlineStr">
        <is>
          <t>JÖNKÖPINGS LÄN</t>
        </is>
      </c>
      <c r="G401" t="inlineStr">
        <is>
          <t>NÄSSJÖ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45680</v>
      </c>
      <c r="E402" s="1" t="n">
        <v>46302</v>
      </c>
      <c r="F402" t="inlineStr">
        <is>
          <t>JÖNKÖPINGS LÄN</t>
        </is>
      </c>
      <c r="G402" t="inlineStr">
        <is>
          <t>NÄSSJÖ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45380</v>
      </c>
      <c r="E403" s="1" t="n">
        <v>46302</v>
      </c>
      <c r="F403" t="inlineStr">
        <is>
          <t>JÖNKÖPINGS LÄN</t>
        </is>
      </c>
      <c r="G403" t="inlineStr">
        <is>
          <t>NÄSSJÖ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46302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45604</v>
      </c>
      <c r="E405" s="1" t="n">
        <v>46302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46302</v>
      </c>
      <c r="F406" t="inlineStr">
        <is>
          <t>JÖNKÖPINGS LÄN</t>
        </is>
      </c>
      <c r="G406" t="inlineStr">
        <is>
          <t>NÄSSJÖ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45302</v>
      </c>
      <c r="E407" s="1" t="n">
        <v>46302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46302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45693</v>
      </c>
      <c r="E409" s="1" t="n">
        <v>46302</v>
      </c>
      <c r="F409" t="inlineStr">
        <is>
          <t>JÖNKÖPINGS LÄN</t>
        </is>
      </c>
      <c r="G409" t="inlineStr">
        <is>
          <t>NÄSSJÖ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46302</v>
      </c>
      <c r="F410" t="inlineStr">
        <is>
          <t>JÖNKÖPINGS LÄN</t>
        </is>
      </c>
      <c r="G410" t="inlineStr">
        <is>
          <t>NÄSSJÖ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15829-2024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45404</v>
      </c>
      <c r="E411" s="1" t="n">
        <v>46302</v>
      </c>
      <c r="F411" t="inlineStr">
        <is>
          <t>JÖNKÖPINGS LÄN</t>
        </is>
      </c>
      <c r="G411" t="inlineStr">
        <is>
          <t>NÄSSJÖ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46302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45259</v>
      </c>
      <c r="E413" s="1" t="n">
        <v>46302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46302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46302</v>
      </c>
      <c r="F415" t="inlineStr">
        <is>
          <t>JÖNKÖPINGS LÄN</t>
        </is>
      </c>
      <c r="G415" t="inlineStr">
        <is>
          <t>NÄSSJÖ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62002-2023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46302</v>
      </c>
      <c r="F416" t="inlineStr">
        <is>
          <t>JÖNKÖPINGS LÄN</t>
        </is>
      </c>
      <c r="G416" t="inlineStr">
        <is>
          <t>NÄSSJÖ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44874</v>
      </c>
      <c r="E417" s="1" t="n">
        <v>46302</v>
      </c>
      <c r="F417" t="inlineStr">
        <is>
          <t>JÖNKÖPINGS LÄN</t>
        </is>
      </c>
      <c r="G417" t="inlineStr">
        <is>
          <t>NÄSSJÖ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53636-2024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46302</v>
      </c>
      <c r="F418" t="inlineStr">
        <is>
          <t>JÖNKÖPINGS LÄN</t>
        </is>
      </c>
      <c r="G418" t="inlineStr">
        <is>
          <t>NÄSSJÖ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45246</v>
      </c>
      <c r="E419" s="1" t="n">
        <v>46302</v>
      </c>
      <c r="F419" t="inlineStr">
        <is>
          <t>JÖNKÖPINGS LÄN</t>
        </is>
      </c>
      <c r="G419" t="inlineStr">
        <is>
          <t>NÄSSJÖ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57678-2021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44484</v>
      </c>
      <c r="E420" s="1" t="n">
        <v>46302</v>
      </c>
      <c r="F420" t="inlineStr">
        <is>
          <t>JÖNKÖPINGS LÄN</t>
        </is>
      </c>
      <c r="G420" t="inlineStr">
        <is>
          <t>NÄSSJÖ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46302</v>
      </c>
      <c r="F421" t="inlineStr">
        <is>
          <t>JÖNKÖPINGS LÄN</t>
        </is>
      </c>
      <c r="G421" t="inlineStr">
        <is>
          <t>NÄSSJÖ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44664</v>
      </c>
      <c r="E422" s="1" t="n">
        <v>46302</v>
      </c>
      <c r="F422" t="inlineStr">
        <is>
          <t>JÖNKÖPINGS LÄN</t>
        </is>
      </c>
      <c r="G422" t="inlineStr">
        <is>
          <t>NÄSSJÖ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46302</v>
      </c>
      <c r="F423" t="inlineStr">
        <is>
          <t>JÖNKÖPINGS LÄN</t>
        </is>
      </c>
      <c r="G423" t="inlineStr">
        <is>
          <t>NÄSSJÖ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46302</v>
      </c>
      <c r="F424" t="inlineStr">
        <is>
          <t>JÖNKÖPINGS LÄN</t>
        </is>
      </c>
      <c r="G424" t="inlineStr">
        <is>
          <t>NÄSSJÖ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46282</v>
      </c>
      <c r="E425" s="1" t="n">
        <v>46302</v>
      </c>
      <c r="F425" t="inlineStr">
        <is>
          <t>JÖNKÖPINGS LÄN</t>
        </is>
      </c>
      <c r="G425" t="inlineStr">
        <is>
          <t>NÄSSJÖ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46302</v>
      </c>
      <c r="F426" t="inlineStr">
        <is>
          <t>JÖNKÖPINGS LÄN</t>
        </is>
      </c>
      <c r="G426" t="inlineStr">
        <is>
          <t>NÄSSJÖ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46283</v>
      </c>
      <c r="E427" s="1" t="n">
        <v>46302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45590</v>
      </c>
      <c r="E428" s="1" t="n">
        <v>46302</v>
      </c>
      <c r="F428" t="inlineStr">
        <is>
          <t>JÖNKÖPINGS LÄN</t>
        </is>
      </c>
      <c r="G428" t="inlineStr">
        <is>
          <t>NÄSSJÖ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46302</v>
      </c>
      <c r="F429" t="inlineStr">
        <is>
          <t>JÖNKÖPINGS LÄN</t>
        </is>
      </c>
      <c r="G429" t="inlineStr">
        <is>
          <t>NÄSSJÖ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49440-2024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46302</v>
      </c>
      <c r="F430" t="inlineStr">
        <is>
          <t>JÖNKÖPINGS LÄN</t>
        </is>
      </c>
      <c r="G430" t="inlineStr">
        <is>
          <t>NÄSSJÖ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39095-2026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46283</v>
      </c>
      <c r="E431" s="1" t="n">
        <v>46302</v>
      </c>
      <c r="F431" t="inlineStr">
        <is>
          <t>JÖNKÖPINGS LÄN</t>
        </is>
      </c>
      <c r="G431" t="inlineStr">
        <is>
          <t>NÄSSJÖ</t>
        </is>
      </c>
      <c r="H431" t="inlineStr">
        <is>
          <t>Kyrkan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46243</v>
      </c>
      <c r="E432" s="1" t="n">
        <v>46302</v>
      </c>
      <c r="F432" t="inlineStr">
        <is>
          <t>JÖNKÖPINGS LÄN</t>
        </is>
      </c>
      <c r="G432" t="inlineStr">
        <is>
          <t>NÄSSJÖ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45236</v>
      </c>
      <c r="E433" s="1" t="n">
        <v>46302</v>
      </c>
      <c r="F433" t="inlineStr">
        <is>
          <t>JÖNKÖPINGS LÄN</t>
        </is>
      </c>
      <c r="G433" t="inlineStr">
        <is>
          <t>NÄSSJÖ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45419</v>
      </c>
      <c r="E434" s="1" t="n">
        <v>46302</v>
      </c>
      <c r="F434" t="inlineStr">
        <is>
          <t>JÖNKÖPINGS LÄN</t>
        </is>
      </c>
      <c r="G434" t="inlineStr">
        <is>
          <t>NÄSSJÖ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45756</v>
      </c>
      <c r="E435" s="1" t="n">
        <v>46302</v>
      </c>
      <c r="F435" t="inlineStr">
        <is>
          <t>JÖNKÖPINGS LÄN</t>
        </is>
      </c>
      <c r="G435" t="inlineStr">
        <is>
          <t>NÄSSJÖ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44813</v>
      </c>
      <c r="E436" s="1" t="n">
        <v>46302</v>
      </c>
      <c r="F436" t="inlineStr">
        <is>
          <t>JÖNKÖPINGS LÄN</t>
        </is>
      </c>
      <c r="G436" t="inlineStr">
        <is>
          <t>NÄSSJÖ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46283</v>
      </c>
      <c r="E437" s="1" t="n">
        <v>46302</v>
      </c>
      <c r="F437" t="inlineStr">
        <is>
          <t>JÖNKÖPINGS LÄN</t>
        </is>
      </c>
      <c r="G437" t="inlineStr">
        <is>
          <t>NÄSSJÖ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46283</v>
      </c>
      <c r="E438" s="1" t="n">
        <v>46302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46260</v>
      </c>
      <c r="E439" s="1" t="n">
        <v>46302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38783-2022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44816</v>
      </c>
      <c r="E440" s="1" t="n">
        <v>46302</v>
      </c>
      <c r="F440" t="inlineStr">
        <is>
          <t>JÖNKÖPINGS LÄN</t>
        </is>
      </c>
      <c r="G440" t="inlineStr">
        <is>
          <t>NÄSSJÖ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46243</v>
      </c>
      <c r="E441" s="1" t="n">
        <v>46302</v>
      </c>
      <c r="F441" t="inlineStr">
        <is>
          <t>JÖNKÖPINGS LÄN</t>
        </is>
      </c>
      <c r="G441" t="inlineStr">
        <is>
          <t>NÄSSJÖ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46302</v>
      </c>
      <c r="F442" t="inlineStr">
        <is>
          <t>JÖNKÖPINGS LÄN</t>
        </is>
      </c>
      <c r="G442" t="inlineStr">
        <is>
          <t>NÄSSJÖ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46302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46243</v>
      </c>
      <c r="E444" s="1" t="n">
        <v>46302</v>
      </c>
      <c r="F444" t="inlineStr">
        <is>
          <t>JÖNKÖPINGS LÄN</t>
        </is>
      </c>
      <c r="G444" t="inlineStr">
        <is>
          <t>NÄSSJÖ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46243</v>
      </c>
      <c r="E445" s="1" t="n">
        <v>46302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38540-2026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46283</v>
      </c>
      <c r="E446" s="1" t="n">
        <v>46302</v>
      </c>
      <c r="F446" t="inlineStr">
        <is>
          <t>JÖNKÖPINGS LÄN</t>
        </is>
      </c>
      <c r="G446" t="inlineStr">
        <is>
          <t>NÄSSJÖ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46246</v>
      </c>
      <c r="E447" s="1" t="n">
        <v>46302</v>
      </c>
      <c r="F447" t="inlineStr">
        <is>
          <t>JÖNKÖPINGS LÄN</t>
        </is>
      </c>
      <c r="G447" t="inlineStr">
        <is>
          <t>NÄSSJÖ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46302</v>
      </c>
      <c r="F448" t="inlineStr">
        <is>
          <t>JÖNKÖPINGS LÄN</t>
        </is>
      </c>
      <c r="G448" t="inlineStr">
        <is>
          <t>NÄSSJÖ</t>
        </is>
      </c>
      <c r="I448" t="n">
        <v>8.699999999999999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45372</v>
      </c>
      <c r="E449" s="1" t="n">
        <v>46302</v>
      </c>
      <c r="F449" t="inlineStr">
        <is>
          <t>JÖNKÖPINGS LÄN</t>
        </is>
      </c>
      <c r="G449" t="inlineStr">
        <is>
          <t>NÄSSJÖ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11363-2024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45372</v>
      </c>
      <c r="E450" s="1" t="n">
        <v>46302</v>
      </c>
      <c r="F450" t="inlineStr">
        <is>
          <t>JÖNKÖPINGS LÄN</t>
        </is>
      </c>
      <c r="G450" t="inlineStr">
        <is>
          <t>NÄSSJÖ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46302</v>
      </c>
      <c r="F451" t="inlineStr">
        <is>
          <t>JÖNKÖPINGS LÄN</t>
        </is>
      </c>
      <c r="G451" t="inlineStr">
        <is>
          <t>NÄSSJÖ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45132</v>
      </c>
      <c r="E452" s="1" t="n">
        <v>46302</v>
      </c>
      <c r="F452" t="inlineStr">
        <is>
          <t>JÖNKÖPINGS LÄN</t>
        </is>
      </c>
      <c r="G452" t="inlineStr">
        <is>
          <t>NÄSSJÖ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46302</v>
      </c>
      <c r="F453" t="inlineStr">
        <is>
          <t>JÖNKÖPINGS LÄN</t>
        </is>
      </c>
      <c r="G453" t="inlineStr">
        <is>
          <t>NÄSSJÖ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44972</v>
      </c>
      <c r="E454" s="1" t="n">
        <v>46302</v>
      </c>
      <c r="F454" t="inlineStr">
        <is>
          <t>JÖNKÖPINGS LÄN</t>
        </is>
      </c>
      <c r="G454" t="inlineStr">
        <is>
          <t>NÄSSJÖ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46302</v>
      </c>
      <c r="F455" t="inlineStr">
        <is>
          <t>JÖNKÖPINGS LÄN</t>
        </is>
      </c>
      <c r="G455" t="inlineStr">
        <is>
          <t>NÄSSJÖ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45373</v>
      </c>
      <c r="E456" s="1" t="n">
        <v>46302</v>
      </c>
      <c r="F456" t="inlineStr">
        <is>
          <t>JÖNKÖPINGS LÄN</t>
        </is>
      </c>
      <c r="G456" t="inlineStr">
        <is>
          <t>NÄSSJÖ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45394</v>
      </c>
      <c r="E457" s="1" t="n">
        <v>46302</v>
      </c>
      <c r="F457" t="inlineStr">
        <is>
          <t>JÖNKÖPINGS LÄN</t>
        </is>
      </c>
      <c r="G457" t="inlineStr">
        <is>
          <t>NÄSSJÖ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46302</v>
      </c>
      <c r="F458" t="inlineStr">
        <is>
          <t>JÖNKÖPINGS LÄN</t>
        </is>
      </c>
      <c r="G458" t="inlineStr">
        <is>
          <t>NÄSSJÖ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46302</v>
      </c>
      <c r="F459" t="inlineStr">
        <is>
          <t>JÖNKÖPINGS LÄN</t>
        </is>
      </c>
      <c r="G459" t="inlineStr">
        <is>
          <t>NÄSSJÖ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46289</v>
      </c>
      <c r="E460" s="1" t="n">
        <v>46302</v>
      </c>
      <c r="F460" t="inlineStr">
        <is>
          <t>JÖNKÖPINGS LÄN</t>
        </is>
      </c>
      <c r="G460" t="inlineStr">
        <is>
          <t>NÄSSJÖ</t>
        </is>
      </c>
      <c r="H460" t="inlineStr">
        <is>
          <t>Kyrkan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46302</v>
      </c>
      <c r="F461" t="inlineStr">
        <is>
          <t>JÖNKÖPINGS LÄN</t>
        </is>
      </c>
      <c r="G461" t="inlineStr">
        <is>
          <t>NÄSSJÖ</t>
        </is>
      </c>
      <c r="H461" t="inlineStr">
        <is>
          <t>Kyrkan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46290</v>
      </c>
      <c r="E462" s="1" t="n">
        <v>46302</v>
      </c>
      <c r="F462" t="inlineStr">
        <is>
          <t>JÖNKÖPINGS LÄN</t>
        </is>
      </c>
      <c r="G462" t="inlineStr">
        <is>
          <t>NÄSSJÖ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46302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46302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46249</v>
      </c>
      <c r="E465" s="1" t="n">
        <v>46302</v>
      </c>
      <c r="F465" t="inlineStr">
        <is>
          <t>JÖNKÖPINGS LÄN</t>
        </is>
      </c>
      <c r="G465" t="inlineStr">
        <is>
          <t>NÄSSJÖ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46302</v>
      </c>
      <c r="F466" t="inlineStr">
        <is>
          <t>JÖNKÖPINGS LÄN</t>
        </is>
      </c>
      <c r="G466" t="inlineStr">
        <is>
          <t>NÄSSJÖ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45617</v>
      </c>
      <c r="E467" s="1" t="n">
        <v>46302</v>
      </c>
      <c r="F467" t="inlineStr">
        <is>
          <t>JÖNKÖPINGS LÄN</t>
        </is>
      </c>
      <c r="G467" t="inlineStr">
        <is>
          <t>NÄSSJÖ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40543-2026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46295</v>
      </c>
      <c r="E468" s="1" t="n">
        <v>46302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44564</v>
      </c>
      <c r="E469" s="1" t="n">
        <v>46302</v>
      </c>
      <c r="F469" t="inlineStr">
        <is>
          <t>JÖNKÖPINGS LÄN</t>
        </is>
      </c>
      <c r="G469" t="inlineStr">
        <is>
          <t>NÄSSJÖ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44985</v>
      </c>
      <c r="E470" s="1" t="n">
        <v>46302</v>
      </c>
      <c r="F470" t="inlineStr">
        <is>
          <t>JÖNKÖPINGS LÄN</t>
        </is>
      </c>
      <c r="G470" t="inlineStr">
        <is>
          <t>NÄSSJÖ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46302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11361-2024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45372</v>
      </c>
      <c r="E472" s="1" t="n">
        <v>46302</v>
      </c>
      <c r="F472" t="inlineStr">
        <is>
          <t>JÖNKÖPINGS LÄN</t>
        </is>
      </c>
      <c r="G472" t="inlineStr">
        <is>
          <t>NÄSSJÖ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45617</v>
      </c>
      <c r="E473" s="1" t="n">
        <v>46302</v>
      </c>
      <c r="F473" t="inlineStr">
        <is>
          <t>JÖNKÖPINGS LÄN</t>
        </is>
      </c>
      <c r="G473" t="inlineStr">
        <is>
          <t>NÄSSJÖ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44766-2023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45190</v>
      </c>
      <c r="E474" s="1" t="n">
        <v>46302</v>
      </c>
      <c r="F474" t="inlineStr">
        <is>
          <t>JÖNKÖPINGS LÄN</t>
        </is>
      </c>
      <c r="G474" t="inlineStr">
        <is>
          <t>NÄSSJÖ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9693-2022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44617</v>
      </c>
      <c r="E475" s="1" t="n">
        <v>46302</v>
      </c>
      <c r="F475" t="inlineStr">
        <is>
          <t>JÖNKÖPINGS LÄN</t>
        </is>
      </c>
      <c r="G475" t="inlineStr">
        <is>
          <t>NÄSSJÖ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45163</v>
      </c>
      <c r="E476" s="1" t="n">
        <v>46302</v>
      </c>
      <c r="F476" t="inlineStr">
        <is>
          <t>JÖNKÖPINGS LÄN</t>
        </is>
      </c>
      <c r="G476" t="inlineStr">
        <is>
          <t>NÄSSJÖ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46294</v>
      </c>
      <c r="E477" s="1" t="n">
        <v>46302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46294</v>
      </c>
      <c r="E478" s="1" t="n">
        <v>46302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46302</v>
      </c>
      <c r="F479" t="inlineStr">
        <is>
          <t>JÖNKÖPINGS LÄN</t>
        </is>
      </c>
      <c r="G479" t="inlineStr">
        <is>
          <t>NÄSSJÖ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29990-2023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45109</v>
      </c>
      <c r="E480" s="1" t="n">
        <v>46302</v>
      </c>
      <c r="F480" t="inlineStr">
        <is>
          <t>JÖNKÖPINGS LÄN</t>
        </is>
      </c>
      <c r="G480" t="inlineStr">
        <is>
          <t>NÄSSJÖ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14832-2023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45014</v>
      </c>
      <c r="E481" s="1" t="n">
        <v>46302</v>
      </c>
      <c r="F481" t="inlineStr">
        <is>
          <t>JÖNKÖPINGS LÄN</t>
        </is>
      </c>
      <c r="G481" t="inlineStr">
        <is>
          <t>NÄSSJÖ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44988</v>
      </c>
      <c r="E482" s="1" t="n">
        <v>46302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46248</v>
      </c>
      <c r="E483" s="1" t="n">
        <v>46302</v>
      </c>
      <c r="F483" t="inlineStr">
        <is>
          <t>JÖNKÖPINGS LÄN</t>
        </is>
      </c>
      <c r="G483" t="inlineStr">
        <is>
          <t>NÄSSJÖ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40539-2026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46295</v>
      </c>
      <c r="E484" s="1" t="n">
        <v>46302</v>
      </c>
      <c r="F484" t="inlineStr">
        <is>
          <t>JÖNKÖPINGS LÄN</t>
        </is>
      </c>
      <c r="G484" t="inlineStr">
        <is>
          <t>NÄSSJÖ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40545-2026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46295</v>
      </c>
      <c r="E485" s="1" t="n">
        <v>46302</v>
      </c>
      <c r="F485" t="inlineStr">
        <is>
          <t>JÖNKÖPINGS LÄN</t>
        </is>
      </c>
      <c r="G485" t="inlineStr">
        <is>
          <t>NÄSSJÖ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40332-2026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46294</v>
      </c>
      <c r="E486" s="1" t="n">
        <v>46302</v>
      </c>
      <c r="F486" t="inlineStr">
        <is>
          <t>JÖNKÖPINGS LÄN</t>
        </is>
      </c>
      <c r="G486" t="inlineStr">
        <is>
          <t>NÄSSJÖ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40541-2026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46295</v>
      </c>
      <c r="E487" s="1" t="n">
        <v>46302</v>
      </c>
      <c r="F487" t="inlineStr">
        <is>
          <t>JÖNKÖPINGS LÄN</t>
        </is>
      </c>
      <c r="G487" t="inlineStr">
        <is>
          <t>NÄSSJÖ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56869-2022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44894</v>
      </c>
      <c r="E488" s="1" t="n">
        <v>46302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45695</v>
      </c>
      <c r="E489" s="1" t="n">
        <v>46302</v>
      </c>
      <c r="F489" t="inlineStr">
        <is>
          <t>JÖNKÖPINGS LÄN</t>
        </is>
      </c>
      <c r="G489" t="inlineStr">
        <is>
          <t>NÄSSJÖ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16657-2024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45408</v>
      </c>
      <c r="E490" s="1" t="n">
        <v>46302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39185-2023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46302</v>
      </c>
      <c r="F491" t="inlineStr">
        <is>
          <t>JÖNKÖPINGS LÄN</t>
        </is>
      </c>
      <c r="G491" t="inlineStr">
        <is>
          <t>NÄSSJÖ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41325-2022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44826</v>
      </c>
      <c r="E492" s="1" t="n">
        <v>46302</v>
      </c>
      <c r="F492" t="inlineStr">
        <is>
          <t>JÖNKÖPINGS LÄN</t>
        </is>
      </c>
      <c r="G492" t="inlineStr">
        <is>
          <t>NÄSSJÖ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44608</v>
      </c>
      <c r="E493" s="1" t="n">
        <v>46302</v>
      </c>
      <c r="F493" t="inlineStr">
        <is>
          <t>JÖNKÖPINGS LÄN</t>
        </is>
      </c>
      <c r="G493" t="inlineStr">
        <is>
          <t>NÄSSJÖ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44976</v>
      </c>
      <c r="E494" s="1" t="n">
        <v>46302</v>
      </c>
      <c r="F494" t="inlineStr">
        <is>
          <t>JÖNKÖPINGS LÄN</t>
        </is>
      </c>
      <c r="G494" t="inlineStr">
        <is>
          <t>NÄSSJÖ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45213</v>
      </c>
      <c r="E495" s="1" t="n">
        <v>46302</v>
      </c>
      <c r="F495" t="inlineStr">
        <is>
          <t>JÖNKÖPINGS LÄN</t>
        </is>
      </c>
      <c r="G495" t="inlineStr">
        <is>
          <t>NÄSSJÖ</t>
        </is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7052-2024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46302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46302</v>
      </c>
      <c r="F497" t="inlineStr">
        <is>
          <t>JÖNKÖPINGS LÄN</t>
        </is>
      </c>
      <c r="G497" t="inlineStr">
        <is>
          <t>NÄSSJÖ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46302</v>
      </c>
      <c r="F498" t="inlineStr">
        <is>
          <t>JÖNKÖPINGS LÄN</t>
        </is>
      </c>
      <c r="G498" t="inlineStr">
        <is>
          <t>NÄSSJÖ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45377</v>
      </c>
      <c r="E499" s="1" t="n">
        <v>46302</v>
      </c>
      <c r="F499" t="inlineStr">
        <is>
          <t>JÖNKÖPINGS LÄN</t>
        </is>
      </c>
      <c r="G499" t="inlineStr">
        <is>
          <t>NÄSSJÖ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39211-2026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46287</v>
      </c>
      <c r="E500" s="1" t="n">
        <v>46302</v>
      </c>
      <c r="F500" t="inlineStr">
        <is>
          <t>JÖNKÖPINGS LÄN</t>
        </is>
      </c>
      <c r="G500" t="inlineStr">
        <is>
          <t>NÄSSJÖ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44659</v>
      </c>
      <c r="E501" s="1" t="n">
        <v>46302</v>
      </c>
      <c r="F501" t="inlineStr">
        <is>
          <t>JÖNKÖPINGS LÄN</t>
        </is>
      </c>
      <c r="G501" t="inlineStr">
        <is>
          <t>NÄSSJÖ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46302</v>
      </c>
      <c r="F502" t="inlineStr">
        <is>
          <t>JÖNKÖPINGS LÄN</t>
        </is>
      </c>
      <c r="G502" t="inlineStr">
        <is>
          <t>NÄSSJÖ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34687-2026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46302</v>
      </c>
      <c r="F503" t="inlineStr">
        <is>
          <t>JÖNKÖPINGS LÄN</t>
        </is>
      </c>
      <c r="G503" t="inlineStr">
        <is>
          <t>NÄSSJÖ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61451-2023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45264</v>
      </c>
      <c r="E504" s="1" t="n">
        <v>46302</v>
      </c>
      <c r="F504" t="inlineStr">
        <is>
          <t>JÖNKÖPINGS LÄN</t>
        </is>
      </c>
      <c r="G504" t="inlineStr">
        <is>
          <t>NÄSSJÖ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46302</v>
      </c>
      <c r="F505" t="inlineStr">
        <is>
          <t>JÖNKÖPINGS LÄN</t>
        </is>
      </c>
      <c r="G505" t="inlineStr">
        <is>
          <t>NÄSSJÖ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44916</v>
      </c>
      <c r="E506" s="1" t="n">
        <v>46302</v>
      </c>
      <c r="F506" t="inlineStr">
        <is>
          <t>JÖNKÖPINGS LÄN</t>
        </is>
      </c>
      <c r="G506" t="inlineStr">
        <is>
          <t>NÄSSJÖ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44984</v>
      </c>
      <c r="E507" s="1" t="n">
        <v>46302</v>
      </c>
      <c r="F507" t="inlineStr">
        <is>
          <t>JÖNKÖPINGS LÄN</t>
        </is>
      </c>
      <c r="G507" t="inlineStr">
        <is>
          <t>NÄSSJÖ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45648-2024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45579</v>
      </c>
      <c r="E508" s="1" t="n">
        <v>46302</v>
      </c>
      <c r="F508" t="inlineStr">
        <is>
          <t>JÖNKÖPINGS LÄN</t>
        </is>
      </c>
      <c r="G508" t="inlineStr">
        <is>
          <t>NÄSSJÖ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43697-2023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45187</v>
      </c>
      <c r="E509" s="1" t="n">
        <v>46302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2025-2024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45308</v>
      </c>
      <c r="E510" s="1" t="n">
        <v>46302</v>
      </c>
      <c r="F510" t="inlineStr">
        <is>
          <t>JÖNKÖPINGS LÄN</t>
        </is>
      </c>
      <c r="G510" t="inlineStr">
        <is>
          <t>NÄSSJÖ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46302</v>
      </c>
      <c r="F511" t="inlineStr">
        <is>
          <t>JÖNKÖPINGS LÄN</t>
        </is>
      </c>
      <c r="G511" t="inlineStr">
        <is>
          <t>NÄSSJÖ</t>
        </is>
      </c>
      <c r="H511" t="inlineStr">
        <is>
          <t>Kommuner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46302</v>
      </c>
      <c r="F512" t="inlineStr">
        <is>
          <t>JÖNKÖPINGS LÄN</t>
        </is>
      </c>
      <c r="G512" t="inlineStr">
        <is>
          <t>NÄSSJÖ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63630-2023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45275</v>
      </c>
      <c r="E513" s="1" t="n">
        <v>46302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45181</v>
      </c>
      <c r="E514" s="1" t="n">
        <v>46302</v>
      </c>
      <c r="F514" t="inlineStr">
        <is>
          <t>JÖNKÖPINGS LÄN</t>
        </is>
      </c>
      <c r="G514" t="inlineStr">
        <is>
          <t>NÄSSJÖ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12576-2025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45732</v>
      </c>
      <c r="E515" s="1" t="n">
        <v>46302</v>
      </c>
      <c r="F515" t="inlineStr">
        <is>
          <t>JÖNKÖPINGS LÄN</t>
        </is>
      </c>
      <c r="G515" t="inlineStr">
        <is>
          <t>NÄSSJÖ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46302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28340-2023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45099</v>
      </c>
      <c r="E517" s="1" t="n">
        <v>46302</v>
      </c>
      <c r="F517" t="inlineStr">
        <is>
          <t>JÖNKÖPINGS LÄN</t>
        </is>
      </c>
      <c r="G517" t="inlineStr">
        <is>
          <t>NÄSSJÖ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45056</v>
      </c>
      <c r="E518" s="1" t="n">
        <v>46302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46302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15993-2022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44665</v>
      </c>
      <c r="E520" s="1" t="n">
        <v>46302</v>
      </c>
      <c r="F520" t="inlineStr">
        <is>
          <t>JÖNKÖPINGS LÄN</t>
        </is>
      </c>
      <c r="G520" t="inlineStr">
        <is>
          <t>NÄSSJÖ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44848</v>
      </c>
      <c r="E521" s="1" t="n">
        <v>46302</v>
      </c>
      <c r="F521" t="inlineStr">
        <is>
          <t>JÖNKÖPINGS LÄN</t>
        </is>
      </c>
      <c r="G521" t="inlineStr">
        <is>
          <t>NÄSSJÖ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45309</v>
      </c>
      <c r="E522" s="1" t="n">
        <v>46302</v>
      </c>
      <c r="F522" t="inlineStr">
        <is>
          <t>JÖNKÖPINGS LÄN</t>
        </is>
      </c>
      <c r="G522" t="inlineStr">
        <is>
          <t>NÄSSJÖ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46302</v>
      </c>
      <c r="F523" t="inlineStr">
        <is>
          <t>JÖNKÖPINGS LÄN</t>
        </is>
      </c>
      <c r="G523" t="inlineStr">
        <is>
          <t>NÄSSJÖ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44874</v>
      </c>
      <c r="E524" s="1" t="n">
        <v>46302</v>
      </c>
      <c r="F524" t="inlineStr">
        <is>
          <t>JÖNKÖPINGS LÄN</t>
        </is>
      </c>
      <c r="G524" t="inlineStr">
        <is>
          <t>NÄSSJÖ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45273</v>
      </c>
      <c r="E525" s="1" t="n">
        <v>46302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46302</v>
      </c>
      <c r="F526" t="inlineStr">
        <is>
          <t>JÖNKÖPINGS LÄN</t>
        </is>
      </c>
      <c r="G526" t="inlineStr">
        <is>
          <t>NÄSSJÖ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46302</v>
      </c>
      <c r="F527" t="inlineStr">
        <is>
          <t>JÖNKÖPINGS LÄN</t>
        </is>
      </c>
      <c r="G527" t="inlineStr">
        <is>
          <t>NÄSSJÖ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45163</v>
      </c>
      <c r="E528" s="1" t="n">
        <v>46302</v>
      </c>
      <c r="F528" t="inlineStr">
        <is>
          <t>JÖNKÖPINGS LÄN</t>
        </is>
      </c>
      <c r="G528" t="inlineStr">
        <is>
          <t>NÄSSJÖ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44603</v>
      </c>
      <c r="E529" s="1" t="n">
        <v>46302</v>
      </c>
      <c r="F529" t="inlineStr">
        <is>
          <t>JÖNKÖPINGS LÄN</t>
        </is>
      </c>
      <c r="G529" t="inlineStr">
        <is>
          <t>NÄSSJÖ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45307</v>
      </c>
      <c r="E530" s="1" t="n">
        <v>46302</v>
      </c>
      <c r="F530" t="inlineStr">
        <is>
          <t>JÖNKÖPINGS LÄN</t>
        </is>
      </c>
      <c r="G530" t="inlineStr">
        <is>
          <t>NÄSSJÖ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45316</v>
      </c>
      <c r="E531" s="1" t="n">
        <v>46302</v>
      </c>
      <c r="F531" t="inlineStr">
        <is>
          <t>JÖNKÖPINGS LÄN</t>
        </is>
      </c>
      <c r="G531" t="inlineStr">
        <is>
          <t>NÄSSJÖ</t>
        </is>
      </c>
      <c r="H531" t="inlineStr">
        <is>
          <t>Kyrkan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44902</v>
      </c>
      <c r="E532" s="1" t="n">
        <v>46302</v>
      </c>
      <c r="F532" t="inlineStr">
        <is>
          <t>JÖNKÖPINGS LÄN</t>
        </is>
      </c>
      <c r="G532" t="inlineStr">
        <is>
          <t>NÄSSJÖ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58553-2022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46302</v>
      </c>
      <c r="F533" t="inlineStr">
        <is>
          <t>JÖNKÖPINGS LÄN</t>
        </is>
      </c>
      <c r="G533" t="inlineStr">
        <is>
          <t>NÄSSJÖ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45013</v>
      </c>
      <c r="E534" s="1" t="n">
        <v>46302</v>
      </c>
      <c r="F534" t="inlineStr">
        <is>
          <t>JÖNKÖPINGS LÄN</t>
        </is>
      </c>
      <c r="G534" t="inlineStr">
        <is>
          <t>NÄSSJÖ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30001-2023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45109</v>
      </c>
      <c r="E535" s="1" t="n">
        <v>46302</v>
      </c>
      <c r="F535" t="inlineStr">
        <is>
          <t>JÖNKÖPINGS LÄN</t>
        </is>
      </c>
      <c r="G535" t="inlineStr">
        <is>
          <t>NÄSSJÖ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46302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4327-2025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45685</v>
      </c>
      <c r="E537" s="1" t="n">
        <v>46302</v>
      </c>
      <c r="F537" t="inlineStr">
        <is>
          <t>JÖNKÖPINGS LÄN</t>
        </is>
      </c>
      <c r="G537" t="inlineStr">
        <is>
          <t>NÄSSJÖ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46302</v>
      </c>
      <c r="F538" t="inlineStr">
        <is>
          <t>JÖNKÖPINGS LÄN</t>
        </is>
      </c>
      <c r="G538" t="inlineStr">
        <is>
          <t>NÄSSJÖ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46302</v>
      </c>
      <c r="F539" t="inlineStr">
        <is>
          <t>JÖNKÖPINGS LÄN</t>
        </is>
      </c>
      <c r="G539" t="inlineStr">
        <is>
          <t>NÄSSJÖ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45328</v>
      </c>
      <c r="E540" s="1" t="n">
        <v>46302</v>
      </c>
      <c r="F540" t="inlineStr">
        <is>
          <t>JÖNKÖPINGS LÄN</t>
        </is>
      </c>
      <c r="G540" t="inlineStr">
        <is>
          <t>NÄSSJÖ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44965</v>
      </c>
      <c r="E541" s="1" t="n">
        <v>46302</v>
      </c>
      <c r="F541" t="inlineStr">
        <is>
          <t>JÖNKÖPINGS LÄN</t>
        </is>
      </c>
      <c r="G541" t="inlineStr">
        <is>
          <t>NÄSSJÖ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39485-2024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46302</v>
      </c>
      <c r="F542" t="inlineStr">
        <is>
          <t>JÖNKÖPINGS LÄN</t>
        </is>
      </c>
      <c r="G542" t="inlineStr">
        <is>
          <t>NÄSSJÖ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63695-2023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45275</v>
      </c>
      <c r="E543" s="1" t="n">
        <v>46302</v>
      </c>
      <c r="F543" t="inlineStr">
        <is>
          <t>JÖNKÖPINGS LÄN</t>
        </is>
      </c>
      <c r="G543" t="inlineStr">
        <is>
          <t>NÄSSJÖ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45277</v>
      </c>
      <c r="E544" s="1" t="n">
        <v>46302</v>
      </c>
      <c r="F544" t="inlineStr">
        <is>
          <t>JÖNKÖPINGS LÄN</t>
        </is>
      </c>
      <c r="G544" t="inlineStr">
        <is>
          <t>NÄSSJÖ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52972-2024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45611</v>
      </c>
      <c r="E545" s="1" t="n">
        <v>46302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45776</v>
      </c>
      <c r="E546" s="1" t="n">
        <v>46302</v>
      </c>
      <c r="F546" t="inlineStr">
        <is>
          <t>JÖNKÖPINGS LÄN</t>
        </is>
      </c>
      <c r="G546" t="inlineStr">
        <is>
          <t>NÄSSJÖ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46302</v>
      </c>
      <c r="F547" t="inlineStr">
        <is>
          <t>JÖNKÖPINGS LÄN</t>
        </is>
      </c>
      <c r="G547" t="inlineStr">
        <is>
          <t>NÄSSJÖ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46302</v>
      </c>
      <c r="F548" t="inlineStr">
        <is>
          <t>JÖNKÖPINGS LÄN</t>
        </is>
      </c>
      <c r="G548" t="inlineStr">
        <is>
          <t>NÄSSJÖ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46302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50020-2024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45599</v>
      </c>
      <c r="E550" s="1" t="n">
        <v>46302</v>
      </c>
      <c r="F550" t="inlineStr">
        <is>
          <t>JÖNKÖPINGS LÄN</t>
        </is>
      </c>
      <c r="G550" t="inlineStr">
        <is>
          <t>NÄSSJÖ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7175-2022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44605</v>
      </c>
      <c r="E551" s="1" t="n">
        <v>46302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3647-2024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45320</v>
      </c>
      <c r="E552" s="1" t="n">
        <v>46302</v>
      </c>
      <c r="F552" t="inlineStr">
        <is>
          <t>JÖNKÖPINGS LÄN</t>
        </is>
      </c>
      <c r="G552" t="inlineStr">
        <is>
          <t>NÄSSJÖ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45586</v>
      </c>
      <c r="E553" s="1" t="n">
        <v>46302</v>
      </c>
      <c r="F553" t="inlineStr">
        <is>
          <t>JÖNKÖPINGS LÄN</t>
        </is>
      </c>
      <c r="G553" t="inlineStr">
        <is>
          <t>NÄSSJÖ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46302</v>
      </c>
      <c r="F554" t="inlineStr">
        <is>
          <t>JÖNKÖPINGS LÄN</t>
        </is>
      </c>
      <c r="G554" t="inlineStr">
        <is>
          <t>NÄSSJÖ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46302</v>
      </c>
      <c r="F555" t="inlineStr">
        <is>
          <t>JÖNKÖPINGS LÄN</t>
        </is>
      </c>
      <c r="G555" t="inlineStr">
        <is>
          <t>NÄSSJÖ</t>
        </is>
      </c>
      <c r="I555" t="n">
        <v>10.4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46302</v>
      </c>
      <c r="F556" t="inlineStr">
        <is>
          <t>JÖNKÖPINGS LÄN</t>
        </is>
      </c>
      <c r="G556" t="inlineStr">
        <is>
          <t>NÄSSJÖ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45791</v>
      </c>
      <c r="E557" s="1" t="n">
        <v>46302</v>
      </c>
      <c r="F557" t="inlineStr">
        <is>
          <t>JÖNKÖPINGS LÄN</t>
        </is>
      </c>
      <c r="G557" t="inlineStr">
        <is>
          <t>NÄSSJÖ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45795</v>
      </c>
      <c r="E558" s="1" t="n">
        <v>46302</v>
      </c>
      <c r="F558" t="inlineStr">
        <is>
          <t>JÖNKÖPINGS LÄN</t>
        </is>
      </c>
      <c r="G558" t="inlineStr">
        <is>
          <t>NÄSSJÖ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45260</v>
      </c>
      <c r="E559" s="1" t="n">
        <v>46302</v>
      </c>
      <c r="F559" t="inlineStr">
        <is>
          <t>JÖNKÖPINGS LÄN</t>
        </is>
      </c>
      <c r="G559" t="inlineStr">
        <is>
          <t>NÄSSJÖ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23925-2025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45795</v>
      </c>
      <c r="E560" s="1" t="n">
        <v>46302</v>
      </c>
      <c r="F560" t="inlineStr">
        <is>
          <t>JÖNKÖPINGS LÄN</t>
        </is>
      </c>
      <c r="G560" t="inlineStr">
        <is>
          <t>NÄSSJÖ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45728</v>
      </c>
      <c r="E561" s="1" t="n">
        <v>46302</v>
      </c>
      <c r="F561" t="inlineStr">
        <is>
          <t>JÖNKÖPINGS LÄN</t>
        </is>
      </c>
      <c r="G561" t="inlineStr">
        <is>
          <t>NÄSSJÖ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45742</v>
      </c>
      <c r="E562" s="1" t="n">
        <v>46302</v>
      </c>
      <c r="F562" t="inlineStr">
        <is>
          <t>JÖNKÖPINGS LÄN</t>
        </is>
      </c>
      <c r="G562" t="inlineStr">
        <is>
          <t>NÄSSJÖ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46302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45108</v>
      </c>
      <c r="E564" s="1" t="n">
        <v>46302</v>
      </c>
      <c r="F564" t="inlineStr">
        <is>
          <t>JÖNKÖPINGS LÄN</t>
        </is>
      </c>
      <c r="G564" t="inlineStr">
        <is>
          <t>NÄSSJÖ</t>
        </is>
      </c>
      <c r="I564" t="n">
        <v>37.6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1405-2023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45042</v>
      </c>
      <c r="E565" s="1" t="n">
        <v>46302</v>
      </c>
      <c r="F565" t="inlineStr">
        <is>
          <t>JÖNKÖPINGS LÄN</t>
        </is>
      </c>
      <c r="G565" t="inlineStr">
        <is>
          <t>NÄSSJÖ</t>
        </is>
      </c>
      <c r="I565" t="n">
        <v>26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2094-2024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45453</v>
      </c>
      <c r="E566" s="1" t="n">
        <v>46302</v>
      </c>
      <c r="F566" t="inlineStr">
        <is>
          <t>JÖNKÖPINGS LÄN</t>
        </is>
      </c>
      <c r="G566" t="inlineStr">
        <is>
          <t>NÄSSJÖ</t>
        </is>
      </c>
      <c r="I566" t="n">
        <v>37.7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1381-2024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45411</v>
      </c>
      <c r="E567" s="1" t="n">
        <v>46302</v>
      </c>
      <c r="F567" t="inlineStr">
        <is>
          <t>JÖNKÖPINGS LÄN</t>
        </is>
      </c>
      <c r="G567" t="inlineStr">
        <is>
          <t>NÄSSJÖ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45029</v>
      </c>
      <c r="E568" s="1" t="n">
        <v>46302</v>
      </c>
      <c r="F568" t="inlineStr">
        <is>
          <t>JÖNKÖPINGS LÄN</t>
        </is>
      </c>
      <c r="G568" t="inlineStr">
        <is>
          <t>NÄSSJÖ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45118</v>
      </c>
      <c r="E569" s="1" t="n">
        <v>46302</v>
      </c>
      <c r="F569" t="inlineStr">
        <is>
          <t>JÖNKÖPINGS LÄN</t>
        </is>
      </c>
      <c r="G569" t="inlineStr">
        <is>
          <t>NÄSSJÖ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1950-2023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45082</v>
      </c>
      <c r="E570" s="1" t="n">
        <v>46302</v>
      </c>
      <c r="F570" t="inlineStr">
        <is>
          <t>JÖNKÖPINGS LÄN</t>
        </is>
      </c>
      <c r="G570" t="inlineStr">
        <is>
          <t>NÄSSJÖ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45112</v>
      </c>
      <c r="E571" s="1" t="n">
        <v>46302</v>
      </c>
      <c r="F571" t="inlineStr">
        <is>
          <t>JÖNKÖPINGS LÄN</t>
        </is>
      </c>
      <c r="G571" t="inlineStr">
        <is>
          <t>NÄSSJÖ</t>
        </is>
      </c>
      <c r="I571" t="n">
        <v>22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654-2023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44977</v>
      </c>
      <c r="E572" s="1" t="n">
        <v>46302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7883-2021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44482</v>
      </c>
      <c r="E573" s="1" t="n">
        <v>46302</v>
      </c>
      <c r="F573" t="inlineStr">
        <is>
          <t>JÖNKÖPINGS LÄN</t>
        </is>
      </c>
      <c r="G573" t="inlineStr">
        <is>
          <t>NÄSSJÖ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46302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46302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46302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46302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46302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44575</v>
      </c>
      <c r="E579" s="1" t="n">
        <v>46302</v>
      </c>
      <c r="F579" t="inlineStr">
        <is>
          <t>JÖNKÖPINGS LÄN</t>
        </is>
      </c>
      <c r="G579" t="inlineStr">
        <is>
          <t>NÄSSJÖ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46302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46302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46302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46302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46302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46302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46302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46302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46302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2026-10-07T02:03:28Z</dcterms:created>
  <dcterms:modified xmlns:dcterms="http://purl.org/dc/terms/" xmlns:xsi="http://www.w3.org/2001/XMLSchema-instance" xsi:type="dcterms:W3CDTF">2026-10-07T02:03:28Z</dcterms:modified>
</cp:coreProperties>
</file>