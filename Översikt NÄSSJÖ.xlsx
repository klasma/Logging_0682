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mälning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8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0" ht="15" customHeight="1"/>
    <row r="1" ht="15" customHeight="1">
      <c r="A1" t="inlineStr">
        <is>
          <t>Beteckning</t>
        </is>
      </c>
      <c r="B1" t="inlineStr">
        <is>
          <t>Typ</t>
        </is>
      </c>
      <c r="C1" t="inlineStr">
        <is>
          <t>Åtgärd</t>
        </is>
      </c>
      <c r="D1" t="inlineStr">
        <is>
          <t>Datum</t>
        </is>
      </c>
      <c r="E1" t="inlineStr">
        <is>
          <t>Förändrad</t>
        </is>
      </c>
      <c r="F1" t="inlineStr">
        <is>
          <t>Län</t>
        </is>
      </c>
      <c r="G1" t="inlineStr">
        <is>
          <t>Kommun</t>
        </is>
      </c>
      <c r="H1" t="inlineStr">
        <is>
          <t>Markägare</t>
        </is>
      </c>
      <c r="I1" t="inlineStr">
        <is>
          <t>Area (ha)</t>
        </is>
      </c>
      <c r="J1" t="inlineStr">
        <is>
          <t>Fridlysta</t>
        </is>
      </c>
      <c r="K1" t="inlineStr">
        <is>
          <t>Signalarter</t>
        </is>
      </c>
      <c r="L1" t="inlineStr">
        <is>
          <t>NT</t>
        </is>
      </c>
      <c r="M1" t="inlineStr">
        <is>
          <t>VU</t>
        </is>
      </c>
      <c r="N1" t="inlineStr">
        <is>
          <t>EN</t>
        </is>
      </c>
      <c r="O1" t="inlineStr">
        <is>
          <t>CR</t>
        </is>
      </c>
      <c r="P1" t="inlineStr">
        <is>
          <t>RE</t>
        </is>
      </c>
      <c r="Q1" t="inlineStr">
        <is>
          <t>Rödlistade</t>
        </is>
      </c>
      <c r="R1" t="inlineStr">
        <is>
          <t>Hotade</t>
        </is>
      </c>
      <c r="S1" t="inlineStr">
        <is>
          <t>Alla arter</t>
        </is>
      </c>
      <c r="T1" t="inlineStr">
        <is>
          <t>Fynd</t>
        </is>
      </c>
      <c r="U1" t="inlineStr">
        <is>
          <t>Nya fynd</t>
        </is>
      </c>
      <c r="V1" t="inlineStr">
        <is>
          <t>Artnamn</t>
        </is>
      </c>
      <c r="W1" t="inlineStr">
        <is>
          <t>Artfyndslänk</t>
        </is>
      </c>
      <c r="X1" t="inlineStr">
        <is>
          <t>Kartlänk</t>
        </is>
      </c>
      <c r="Y1" t="inlineStr">
        <is>
          <t>Geotifflänk</t>
        </is>
      </c>
      <c r="Z1" t="inlineStr">
        <is>
          <t>Knärotsbuffertlänk</t>
        </is>
      </c>
      <c r="AA1" t="inlineStr">
        <is>
          <t>Klagomålslänk</t>
        </is>
      </c>
      <c r="AB1" t="inlineStr">
        <is>
          <t>Klagomålsmaillänk</t>
        </is>
      </c>
      <c r="AC1" t="inlineStr">
        <is>
          <t>Tillsynsbegäranslänk</t>
        </is>
      </c>
      <c r="AD1" t="inlineStr">
        <is>
          <t>Tillsynsbegäransmaillänk</t>
        </is>
      </c>
      <c r="AE1" t="inlineStr">
        <is>
          <t>Fågeltillsynsbegäranslänk</t>
        </is>
      </c>
    </row>
    <row r="2" ht="15" customHeight="1">
      <c r="A2" t="inlineStr">
        <is>
          <t>S 1290-2023</t>
        </is>
      </c>
      <c r="B2" t="inlineStr">
        <is>
          <t>samrådsanmälan</t>
        </is>
      </c>
      <c r="C2" t="inlineStr">
        <is>
          <t>Askåterföring</t>
        </is>
      </c>
      <c r="D2" s="1" t="n">
        <v>45030</v>
      </c>
      <c r="E2" s="1" t="n">
        <v>46322</v>
      </c>
      <c r="F2" t="inlineStr">
        <is>
          <t>JÖNKÖPINGS LÄN</t>
        </is>
      </c>
      <c r="G2" t="inlineStr">
        <is>
          <t>NÄSSJÖ</t>
        </is>
      </c>
      <c r="I2" t="n">
        <v>123.3</v>
      </c>
      <c r="J2" t="n">
        <v>7</v>
      </c>
      <c r="K2" t="n">
        <v>1</v>
      </c>
      <c r="L2" t="n">
        <v>2</v>
      </c>
      <c r="M2" t="n">
        <v>1</v>
      </c>
      <c r="N2" t="n">
        <v>0</v>
      </c>
      <c r="O2" t="n">
        <v>0</v>
      </c>
      <c r="P2" t="n">
        <v>0</v>
      </c>
      <c r="Q2" t="n">
        <v>3</v>
      </c>
      <c r="R2" t="n">
        <v>1</v>
      </c>
      <c r="S2" t="n">
        <v>7</v>
      </c>
      <c r="T2" t="n">
        <v>21</v>
      </c>
      <c r="U2" t="n">
        <v>3</v>
      </c>
      <c r="V2" s="2" t="inlineStr">
        <is>
          <t>Knärot
Brunlångöra
Nordfladdermus
Spindelblomster
Dvärgpipistrell
Gråskimlig fladdermus
Större brunfladdermus</t>
        </is>
      </c>
      <c r="W2">
        <f>HYPERLINK("https://klasma.github.io/Logging_0682/artfynd/S 1290-2023 artfynd.xlsx", "S 1290-2023")</f>
        <v/>
      </c>
      <c r="X2">
        <f>HYPERLINK("https://klasma.github.io/Logging_0682/kartor/S 1290-2023 karta.png", "S 1290-2023")</f>
        <v/>
      </c>
      <c r="Y2">
        <f>HYPERLINK("https://klasma.github.io/Logging_0682/kartor_geotiff/S 1290-2023 georefererad karta.tif", "S 1290-2023")</f>
        <v/>
      </c>
      <c r="Z2">
        <f>HYPERLINK("https://klasma.github.io/Logging_0682/knärot/S 1290-2023 karta knärot.png", "S 1290-2023")</f>
        <v/>
      </c>
      <c r="AA2">
        <f>HYPERLINK("https://klasma.github.io/Logging_0682/klagomål/S 1290-2023 FSC-klagomål.docx", "S 1290-2023")</f>
        <v/>
      </c>
      <c r="AB2">
        <f>HYPERLINK("https://klasma.github.io/Logging_0682/klagomålsmail/S 1290-2023 FSC-klagomål mail.docx", "S 1290-2023")</f>
        <v/>
      </c>
      <c r="AC2">
        <f>HYPERLINK("https://klasma.github.io/Logging_0682/tillsyn/S 1290-2023 tillsynsbegäran.docx", "S 1290-2023")</f>
        <v/>
      </c>
      <c r="AD2">
        <f>HYPERLINK("https://klasma.github.io/Logging_0682/tillsynsmail/S 1290-2023 tillsynsbegäran mail.docx", "S 1290-2023")</f>
        <v/>
      </c>
    </row>
    <row r="3" ht="15" customHeight="1">
      <c r="A3" t="inlineStr">
        <is>
          <t>A 3110-2026</t>
        </is>
      </c>
      <c r="B3" t="inlineStr">
        <is>
          <t>avverkningsanmälan</t>
        </is>
      </c>
      <c r="C3" t="inlineStr">
        <is>
          <t>Föryngringsavverkning</t>
        </is>
      </c>
      <c r="D3" s="1" t="n">
        <v>46041</v>
      </c>
      <c r="E3" s="1" t="n">
        <v>46322</v>
      </c>
      <c r="F3" t="inlineStr">
        <is>
          <t>JÖNKÖPINGS LÄN</t>
        </is>
      </c>
      <c r="G3" t="inlineStr">
        <is>
          <t>NÄSSJÖ</t>
        </is>
      </c>
      <c r="I3" t="n">
        <v>0.5</v>
      </c>
      <c r="J3" t="n">
        <v>5</v>
      </c>
      <c r="K3" t="n">
        <v>0</v>
      </c>
      <c r="L3" t="n">
        <v>2</v>
      </c>
      <c r="M3" t="n">
        <v>0</v>
      </c>
      <c r="N3" t="n">
        <v>0</v>
      </c>
      <c r="O3" t="n">
        <v>0</v>
      </c>
      <c r="P3" t="n">
        <v>0</v>
      </c>
      <c r="Q3" t="n">
        <v>2</v>
      </c>
      <c r="R3" t="n">
        <v>0</v>
      </c>
      <c r="S3" t="n">
        <v>5</v>
      </c>
      <c r="T3" t="n">
        <v>5</v>
      </c>
      <c r="U3" t="n">
        <v>1</v>
      </c>
      <c r="V3" s="2" t="inlineStr">
        <is>
          <t>Bivråk
Kungsörn
Fjällvråk
Trädlärka
Törnskata</t>
        </is>
      </c>
      <c r="W3">
        <f>HYPERLINK("https://klasma.github.io/Logging_0682/artfynd/A 3110-2026 artfynd.xlsx", "A 3110-2026")</f>
        <v/>
      </c>
      <c r="X3">
        <f>HYPERLINK("https://klasma.github.io/Logging_0682/kartor/A 3110-2026 karta.png", "A 3110-2026")</f>
        <v/>
      </c>
      <c r="Y3">
        <f>HYPERLINK("https://klasma.github.io/Logging_0682/kartor_geotiff/A 3110-2026 georefererad karta.tif", "A 3110-2026")</f>
        <v/>
      </c>
      <c r="AA3">
        <f>HYPERLINK("https://klasma.github.io/Logging_0682/klagomål/A 3110-2026 FSC-klagomål.docx", "A 3110-2026")</f>
        <v/>
      </c>
      <c r="AB3">
        <f>HYPERLINK("https://klasma.github.io/Logging_0682/klagomålsmail/A 3110-2026 FSC-klagomål mail.docx", "A 3110-2026")</f>
        <v/>
      </c>
      <c r="AC3">
        <f>HYPERLINK("https://klasma.github.io/Logging_0682/tillsyn/A 3110-2026 tillsynsbegäran.docx", "A 3110-2026")</f>
        <v/>
      </c>
      <c r="AD3">
        <f>HYPERLINK("https://klasma.github.io/Logging_0682/tillsynsmail/A 3110-2026 tillsynsbegäran mail.docx", "A 3110-2026")</f>
        <v/>
      </c>
      <c r="AE3">
        <f>HYPERLINK("https://klasma.github.io/Logging_0682/fåglar/A 3110-2026 prioriterade fågelarter.docx", "A 3110-2026")</f>
        <v/>
      </c>
    </row>
    <row r="4" ht="15" customHeight="1">
      <c r="A4" t="inlineStr">
        <is>
          <t>A 45048-2025</t>
        </is>
      </c>
      <c r="B4" t="inlineStr">
        <is>
          <t>avverkningsanmälan</t>
        </is>
      </c>
      <c r="C4" t="inlineStr">
        <is>
          <t>Föryngringsavverkning</t>
        </is>
      </c>
      <c r="D4" s="1" t="n">
        <v>45919</v>
      </c>
      <c r="E4" s="1" t="n">
        <v>46322</v>
      </c>
      <c r="F4" t="inlineStr">
        <is>
          <t>JÖNKÖPINGS LÄN</t>
        </is>
      </c>
      <c r="G4" t="inlineStr">
        <is>
          <t>NÄSSJÖ</t>
        </is>
      </c>
      <c r="I4" t="n">
        <v>3.2</v>
      </c>
      <c r="J4" t="n">
        <v>3</v>
      </c>
      <c r="K4" t="n">
        <v>1</v>
      </c>
      <c r="L4" t="n">
        <v>1</v>
      </c>
      <c r="M4" t="n">
        <v>1</v>
      </c>
      <c r="N4" t="n">
        <v>0</v>
      </c>
      <c r="O4" t="n">
        <v>0</v>
      </c>
      <c r="P4" t="n">
        <v>0</v>
      </c>
      <c r="Q4" t="n">
        <v>2</v>
      </c>
      <c r="R4" t="n">
        <v>1</v>
      </c>
      <c r="S4" t="n">
        <v>5</v>
      </c>
      <c r="T4" t="n">
        <v>6</v>
      </c>
      <c r="U4" t="n">
        <v>5</v>
      </c>
      <c r="V4" s="2" t="inlineStr">
        <is>
          <t>Knärot
Gransotdyna
Brandticka
Gröngöling
Kungsfågel</t>
        </is>
      </c>
      <c r="W4">
        <f>HYPERLINK("https://klasma.github.io/Logging_0682/artfynd/A 45048-2025 artfynd.xlsx", "A 45048-2025")</f>
        <v/>
      </c>
      <c r="X4">
        <f>HYPERLINK("https://klasma.github.io/Logging_0682/kartor/A 45048-2025 karta.png", "A 45048-2025")</f>
        <v/>
      </c>
      <c r="Y4">
        <f>HYPERLINK("https://klasma.github.io/Logging_0682/kartor_geotiff/A 45048-2025 georefererad karta.tif", "A 45048-2025")</f>
        <v/>
      </c>
      <c r="Z4">
        <f>HYPERLINK("https://klasma.github.io/Logging_0682/knärot/A 45048-2025 karta knärot.png", "A 45048-2025")</f>
        <v/>
      </c>
      <c r="AA4">
        <f>HYPERLINK("https://klasma.github.io/Logging_0682/klagomål/A 45048-2025 FSC-klagomål.docx", "A 45048-2025")</f>
        <v/>
      </c>
      <c r="AB4">
        <f>HYPERLINK("https://klasma.github.io/Logging_0682/klagomålsmail/A 45048-2025 FSC-klagomål mail.docx", "A 45048-2025")</f>
        <v/>
      </c>
      <c r="AC4">
        <f>HYPERLINK("https://klasma.github.io/Logging_0682/tillsyn/A 45048-2025 tillsynsbegäran.docx", "A 45048-2025")</f>
        <v/>
      </c>
      <c r="AD4">
        <f>HYPERLINK("https://klasma.github.io/Logging_0682/tillsynsmail/A 45048-2025 tillsynsbegäran mail.docx", "A 45048-2025")</f>
        <v/>
      </c>
    </row>
    <row r="5" ht="15" customHeight="1">
      <c r="A5" t="inlineStr">
        <is>
          <t>S 2479-2023</t>
        </is>
      </c>
      <c r="B5" t="inlineStr">
        <is>
          <t>samrådsanmälan</t>
        </is>
      </c>
      <c r="C5" t="inlineStr">
        <is>
          <t>Askåterföring</t>
        </is>
      </c>
      <c r="D5" s="1" t="n">
        <v>45131</v>
      </c>
      <c r="E5" s="1" t="n">
        <v>46322</v>
      </c>
      <c r="F5" t="inlineStr">
        <is>
          <t>JÖNKÖPINGS LÄN</t>
        </is>
      </c>
      <c r="G5" t="inlineStr">
        <is>
          <t>NÄSSJÖ</t>
        </is>
      </c>
      <c r="H5" t="inlineStr">
        <is>
          <t>Kyrkan</t>
        </is>
      </c>
      <c r="I5" t="n">
        <v>155.9</v>
      </c>
      <c r="J5" t="n">
        <v>4</v>
      </c>
      <c r="K5" t="n">
        <v>0</v>
      </c>
      <c r="L5" t="n">
        <v>1</v>
      </c>
      <c r="M5" t="n">
        <v>1</v>
      </c>
      <c r="N5" t="n">
        <v>0</v>
      </c>
      <c r="O5" t="n">
        <v>0</v>
      </c>
      <c r="P5" t="n">
        <v>0</v>
      </c>
      <c r="Q5" t="n">
        <v>2</v>
      </c>
      <c r="R5" t="n">
        <v>1</v>
      </c>
      <c r="S5" t="n">
        <v>5</v>
      </c>
      <c r="T5" t="n">
        <v>6</v>
      </c>
      <c r="U5" t="n">
        <v>1</v>
      </c>
      <c r="V5" s="2" t="inlineStr">
        <is>
          <t>Garnlav
Duvhök
Kungsfågel
Vanlig padda
Revlummer</t>
        </is>
      </c>
      <c r="W5">
        <f>HYPERLINK("https://klasma.github.io/Logging_0682/artfynd/S 2479-2023 artfynd.xlsx", "S 2479-2023")</f>
        <v/>
      </c>
      <c r="X5">
        <f>HYPERLINK("https://klasma.github.io/Logging_0682/kartor/S 2479-2023 karta.png", "S 2479-2023")</f>
        <v/>
      </c>
      <c r="Y5">
        <f>HYPERLINK("https://klasma.github.io/Logging_0682/kartor_geotiff/S 2479-2023 georefererad karta.tif", "S 2479-2023")</f>
        <v/>
      </c>
      <c r="AA5">
        <f>HYPERLINK("https://klasma.github.io/Logging_0682/klagomål/S 2479-2023 FSC-klagomål.docx", "S 2479-2023")</f>
        <v/>
      </c>
      <c r="AB5">
        <f>HYPERLINK("https://klasma.github.io/Logging_0682/klagomålsmail/S 2479-2023 FSC-klagomål mail.docx", "S 2479-2023")</f>
        <v/>
      </c>
      <c r="AC5">
        <f>HYPERLINK("https://klasma.github.io/Logging_0682/tillsyn/S 2479-2023 tillsynsbegäran.docx", "S 2479-2023")</f>
        <v/>
      </c>
      <c r="AD5">
        <f>HYPERLINK("https://klasma.github.io/Logging_0682/tillsynsmail/S 2479-2023 tillsynsbegäran mail.docx", "S 2479-2023")</f>
        <v/>
      </c>
      <c r="AE5">
        <f>HYPERLINK("https://klasma.github.io/Logging_0682/fåglar/S 2479-2023 prioriterade fågelarter.docx", "S 2479-2023")</f>
        <v/>
      </c>
    </row>
    <row r="6" ht="15" customHeight="1">
      <c r="A6" t="inlineStr">
        <is>
          <t>S 1542-2026</t>
        </is>
      </c>
      <c r="B6" t="inlineStr">
        <is>
          <t>samrådsanmälan</t>
        </is>
      </c>
      <c r="C6" t="inlineStr">
        <is>
          <t>Annan skogsbruksåtgärd</t>
        </is>
      </c>
      <c r="D6" s="1" t="n">
        <v>46168</v>
      </c>
      <c r="E6" s="1" t="n">
        <v>46322</v>
      </c>
      <c r="F6" t="inlineStr">
        <is>
          <t>JÖNKÖPINGS LÄN</t>
        </is>
      </c>
      <c r="G6" t="inlineStr">
        <is>
          <t>NÄSSJÖ</t>
        </is>
      </c>
      <c r="I6" t="n">
        <v>3.2</v>
      </c>
      <c r="J6" t="n">
        <v>3</v>
      </c>
      <c r="K6" t="n">
        <v>1</v>
      </c>
      <c r="L6" t="n">
        <v>1</v>
      </c>
      <c r="M6" t="n">
        <v>1</v>
      </c>
      <c r="N6" t="n">
        <v>0</v>
      </c>
      <c r="O6" t="n">
        <v>0</v>
      </c>
      <c r="P6" t="n">
        <v>0</v>
      </c>
      <c r="Q6" t="n">
        <v>2</v>
      </c>
      <c r="R6" t="n">
        <v>1</v>
      </c>
      <c r="S6" t="n">
        <v>5</v>
      </c>
      <c r="T6" t="n">
        <v>6</v>
      </c>
      <c r="U6" t="n">
        <v>0</v>
      </c>
      <c r="V6" s="2" t="inlineStr">
        <is>
          <t>Knärot
Gransotdyna
Brandticka
Gröngöling
Kungsfågel</t>
        </is>
      </c>
      <c r="W6">
        <f>HYPERLINK("https://klasma.github.io/Logging_0682/artfynd/S 1542-2026 artfynd.xlsx", "S 1542-2026")</f>
        <v/>
      </c>
      <c r="X6">
        <f>HYPERLINK("https://klasma.github.io/Logging_0682/kartor/S 1542-2026 karta.png", "S 1542-2026")</f>
        <v/>
      </c>
      <c r="Y6">
        <f>HYPERLINK("https://klasma.github.io/Logging_0682/kartor_geotiff/S 1542-2026 georefererad karta.tif", "S 1542-2026")</f>
        <v/>
      </c>
      <c r="Z6">
        <f>HYPERLINK("https://klasma.github.io/Logging_0682/knärot/S 1542-2026 karta knärot.png", "S 1542-2026")</f>
        <v/>
      </c>
      <c r="AA6">
        <f>HYPERLINK("https://klasma.github.io/Logging_0682/klagomål/S 1542-2026 FSC-klagomål.docx", "S 1542-2026")</f>
        <v/>
      </c>
      <c r="AB6">
        <f>HYPERLINK("https://klasma.github.io/Logging_0682/klagomålsmail/S 1542-2026 FSC-klagomål mail.docx", "S 1542-2026")</f>
        <v/>
      </c>
      <c r="AC6">
        <f>HYPERLINK("https://klasma.github.io/Logging_0682/tillsyn/S 1542-2026 tillsynsbegäran.docx", "S 1542-2026")</f>
        <v/>
      </c>
      <c r="AD6">
        <f>HYPERLINK("https://klasma.github.io/Logging_0682/tillsynsmail/S 1542-2026 tillsynsbegäran mail.docx", "S 1542-2026")</f>
        <v/>
      </c>
    </row>
    <row r="7" ht="15" customHeight="1">
      <c r="A7" t="inlineStr">
        <is>
          <t>A 3519-2025</t>
        </is>
      </c>
      <c r="B7" t="inlineStr">
        <is>
          <t>avverkningsanmälan</t>
        </is>
      </c>
      <c r="C7" t="inlineStr">
        <is>
          <t>Föryngringsavverkning</t>
        </is>
      </c>
      <c r="D7" s="1" t="n">
        <v>45680</v>
      </c>
      <c r="E7" s="1" t="n">
        <v>46322</v>
      </c>
      <c r="F7" t="inlineStr">
        <is>
          <t>JÖNKÖPINGS LÄN</t>
        </is>
      </c>
      <c r="G7" t="inlineStr">
        <is>
          <t>NÄSSJÖ</t>
        </is>
      </c>
      <c r="I7" t="n">
        <v>5.7</v>
      </c>
      <c r="J7" t="n">
        <v>2</v>
      </c>
      <c r="K7" t="n">
        <v>1</v>
      </c>
      <c r="L7" t="n">
        <v>1</v>
      </c>
      <c r="M7" t="n">
        <v>0</v>
      </c>
      <c r="N7" t="n">
        <v>0</v>
      </c>
      <c r="O7" t="n">
        <v>0</v>
      </c>
      <c r="P7" t="n">
        <v>0</v>
      </c>
      <c r="Q7" t="n">
        <v>1</v>
      </c>
      <c r="R7" t="n">
        <v>0</v>
      </c>
      <c r="S7" t="n">
        <v>4</v>
      </c>
      <c r="T7" t="n">
        <v>4</v>
      </c>
      <c r="U7" t="n">
        <v>4</v>
      </c>
      <c r="V7" s="2" t="inlineStr">
        <is>
          <t>Vårärt
Svart trolldruva
Blåsippa
Grönvit nattviol</t>
        </is>
      </c>
      <c r="W7">
        <f>HYPERLINK("https://klasma.github.io/Logging_0682/artfynd/A 3519-2025 artfynd.xlsx", "A 3519-2025")</f>
        <v/>
      </c>
      <c r="X7">
        <f>HYPERLINK("https://klasma.github.io/Logging_0682/kartor/A 3519-2025 karta.png", "A 3519-2025")</f>
        <v/>
      </c>
      <c r="Y7">
        <f>HYPERLINK("https://klasma.github.io/Logging_0682/kartor_geotiff/A 3519-2025 georefererad karta.tif", "A 3519-2025")</f>
        <v/>
      </c>
      <c r="AA7">
        <f>HYPERLINK("https://klasma.github.io/Logging_0682/klagomål/A 3519-2025 FSC-klagomål.docx", "A 3519-2025")</f>
        <v/>
      </c>
      <c r="AB7">
        <f>HYPERLINK("https://klasma.github.io/Logging_0682/klagomålsmail/A 3519-2025 FSC-klagomål mail.docx", "A 3519-2025")</f>
        <v/>
      </c>
      <c r="AC7">
        <f>HYPERLINK("https://klasma.github.io/Logging_0682/tillsyn/A 3519-2025 tillsynsbegäran.docx", "A 3519-2025")</f>
        <v/>
      </c>
      <c r="AD7">
        <f>HYPERLINK("https://klasma.github.io/Logging_0682/tillsynsmail/A 3519-2025 tillsynsbegäran mail.docx", "A 3519-2025")</f>
        <v/>
      </c>
    </row>
    <row r="8" ht="15" customHeight="1">
      <c r="A8" t="inlineStr">
        <is>
          <t>A 24531-2024</t>
        </is>
      </c>
      <c r="B8" t="inlineStr">
        <is>
          <t>avverkningsanmälan</t>
        </is>
      </c>
      <c r="C8" t="inlineStr">
        <is>
          <t>Föryngringsavverkning</t>
        </is>
      </c>
      <c r="D8" s="1" t="n">
        <v>45460</v>
      </c>
      <c r="E8" s="1" t="n">
        <v>46322</v>
      </c>
      <c r="F8" t="inlineStr">
        <is>
          <t>JÖNKÖPINGS LÄN</t>
        </is>
      </c>
      <c r="G8" t="inlineStr">
        <is>
          <t>NÄSSJÖ</t>
        </is>
      </c>
      <c r="I8" t="n">
        <v>2.2</v>
      </c>
      <c r="J8" t="n">
        <v>0</v>
      </c>
      <c r="K8" t="n">
        <v>3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1</v>
      </c>
      <c r="R8" t="n">
        <v>1</v>
      </c>
      <c r="S8" t="n">
        <v>4</v>
      </c>
      <c r="T8" t="n">
        <v>4</v>
      </c>
      <c r="U8" t="n">
        <v>1</v>
      </c>
      <c r="V8" s="2" t="inlineStr">
        <is>
          <t>Vridfingersvamp
Papegojvaxing
Småvaxing
Toppvaxing</t>
        </is>
      </c>
      <c r="W8">
        <f>HYPERLINK("https://klasma.github.io/Logging_0682/artfynd/A 24531-2024 artfynd.xlsx", "A 24531-2024")</f>
        <v/>
      </c>
      <c r="X8">
        <f>HYPERLINK("https://klasma.github.io/Logging_0682/kartor/A 24531-2024 karta.png", "A 24531-2024")</f>
        <v/>
      </c>
      <c r="Y8">
        <f>HYPERLINK("https://klasma.github.io/Logging_0682/kartor_geotiff/A 24531-2024 georefererad karta.tif", "A 24531-2024")</f>
        <v/>
      </c>
      <c r="AA8">
        <f>HYPERLINK("https://klasma.github.io/Logging_0682/klagomål/A 24531-2024 FSC-klagomål.docx", "A 24531-2024")</f>
        <v/>
      </c>
      <c r="AB8">
        <f>HYPERLINK("https://klasma.github.io/Logging_0682/klagomålsmail/A 24531-2024 FSC-klagomål mail.docx", "A 24531-2024")</f>
        <v/>
      </c>
      <c r="AC8">
        <f>HYPERLINK("https://klasma.github.io/Logging_0682/tillsyn/A 24531-2024 tillsynsbegäran.docx", "A 24531-2024")</f>
        <v/>
      </c>
      <c r="AD8">
        <f>HYPERLINK("https://klasma.github.io/Logging_0682/tillsynsmail/A 24531-2024 tillsynsbegäran mail.docx", "A 24531-2024")</f>
        <v/>
      </c>
    </row>
    <row r="9" ht="15" customHeight="1">
      <c r="A9" t="inlineStr">
        <is>
          <t>A 37846-2025</t>
        </is>
      </c>
      <c r="B9" t="inlineStr">
        <is>
          <t>avverkningsanmälan</t>
        </is>
      </c>
      <c r="C9" t="inlineStr">
        <is>
          <t>Föryngringsavverkning</t>
        </is>
      </c>
      <c r="D9" s="1" t="n">
        <v>45881</v>
      </c>
      <c r="E9" s="1" t="n">
        <v>46322</v>
      </c>
      <c r="F9" t="inlineStr">
        <is>
          <t>JÖNKÖPINGS LÄN</t>
        </is>
      </c>
      <c r="G9" t="inlineStr">
        <is>
          <t>NÄSSJÖ</t>
        </is>
      </c>
      <c r="I9" t="n">
        <v>2.7</v>
      </c>
      <c r="J9" t="n">
        <v>1</v>
      </c>
      <c r="K9" t="n">
        <v>1</v>
      </c>
      <c r="L9" t="n">
        <v>3</v>
      </c>
      <c r="M9" t="n">
        <v>0</v>
      </c>
      <c r="N9" t="n">
        <v>0</v>
      </c>
      <c r="O9" t="n">
        <v>0</v>
      </c>
      <c r="P9" t="n">
        <v>0</v>
      </c>
      <c r="Q9" t="n">
        <v>3</v>
      </c>
      <c r="R9" t="n">
        <v>0</v>
      </c>
      <c r="S9" t="n">
        <v>4</v>
      </c>
      <c r="T9" t="n">
        <v>4</v>
      </c>
      <c r="U9" t="n">
        <v>4</v>
      </c>
      <c r="V9" s="2" t="inlineStr">
        <is>
          <t>Slåtterfibbla
Sommarfibbla
Ängsstarr
Tvåblad</t>
        </is>
      </c>
      <c r="W9">
        <f>HYPERLINK("https://klasma.github.io/Logging_0682/artfynd/A 37846-2025 artfynd.xlsx", "A 37846-2025")</f>
        <v/>
      </c>
      <c r="X9">
        <f>HYPERLINK("https://klasma.github.io/Logging_0682/kartor/A 37846-2025 karta.png", "A 37846-2025")</f>
        <v/>
      </c>
      <c r="Y9">
        <f>HYPERLINK("https://klasma.github.io/Logging_0682/kartor_geotiff/A 37846-2025 georefererad karta.tif", "A 37846-2025")</f>
        <v/>
      </c>
      <c r="AA9">
        <f>HYPERLINK("https://klasma.github.io/Logging_0682/klagomål/A 37846-2025 FSC-klagomål.docx", "A 37846-2025")</f>
        <v/>
      </c>
      <c r="AB9">
        <f>HYPERLINK("https://klasma.github.io/Logging_0682/klagomålsmail/A 37846-2025 FSC-klagomål mail.docx", "A 37846-2025")</f>
        <v/>
      </c>
      <c r="AC9">
        <f>HYPERLINK("https://klasma.github.io/Logging_0682/tillsyn/A 37846-2025 tillsynsbegäran.docx", "A 37846-2025")</f>
        <v/>
      </c>
      <c r="AD9">
        <f>HYPERLINK("https://klasma.github.io/Logging_0682/tillsynsmail/A 37846-2025 tillsynsbegäran mail.docx", "A 37846-2025")</f>
        <v/>
      </c>
    </row>
    <row r="10" ht="15" customHeight="1">
      <c r="A10" t="inlineStr">
        <is>
          <t>A 32981-2024</t>
        </is>
      </c>
      <c r="B10" t="inlineStr">
        <is>
          <t>avverkningsanmälan</t>
        </is>
      </c>
      <c r="C10" t="inlineStr">
        <is>
          <t>Avverkning för annat ändamål</t>
        </is>
      </c>
      <c r="D10" s="1" t="n">
        <v>45517</v>
      </c>
      <c r="E10" s="1" t="n">
        <v>46322</v>
      </c>
      <c r="F10" t="inlineStr">
        <is>
          <t>JÖNKÖPINGS LÄN</t>
        </is>
      </c>
      <c r="G10" t="inlineStr">
        <is>
          <t>NÄSSJÖ</t>
        </is>
      </c>
      <c r="H10" t="inlineStr">
        <is>
          <t>Kommuner</t>
        </is>
      </c>
      <c r="I10" t="n">
        <v>3</v>
      </c>
      <c r="J10" t="n">
        <v>0</v>
      </c>
      <c r="K10" t="n">
        <v>0</v>
      </c>
      <c r="L10" t="n">
        <v>3</v>
      </c>
      <c r="M10" t="n">
        <v>1</v>
      </c>
      <c r="N10" t="n">
        <v>0</v>
      </c>
      <c r="O10" t="n">
        <v>0</v>
      </c>
      <c r="P10" t="n">
        <v>0</v>
      </c>
      <c r="Q10" t="n">
        <v>4</v>
      </c>
      <c r="R10" t="n">
        <v>1</v>
      </c>
      <c r="S10" t="n">
        <v>4</v>
      </c>
      <c r="T10" t="n">
        <v>5</v>
      </c>
      <c r="U10" t="n">
        <v>4</v>
      </c>
      <c r="V10" s="2" t="inlineStr">
        <is>
          <t>Slåttergubbe
Jungfrulin
Slåtterfibbla
Vårstarr</t>
        </is>
      </c>
      <c r="W10">
        <f>HYPERLINK("https://klasma.github.io/Logging_0682/artfynd/A 32981-2024 artfynd.xlsx", "A 32981-2024")</f>
        <v/>
      </c>
      <c r="X10">
        <f>HYPERLINK("https://klasma.github.io/Logging_0682/kartor/A 32981-2024 karta.png", "A 32981-2024")</f>
        <v/>
      </c>
      <c r="Y10">
        <f>HYPERLINK("https://klasma.github.io/Logging_0682/kartor_geotiff/A 32981-2024 georefererad karta.tif", "A 32981-2024")</f>
        <v/>
      </c>
      <c r="AA10">
        <f>HYPERLINK("https://klasma.github.io/Logging_0682/klagomål/A 32981-2024 FSC-klagomål.docx", "A 32981-2024")</f>
        <v/>
      </c>
      <c r="AB10">
        <f>HYPERLINK("https://klasma.github.io/Logging_0682/klagomålsmail/A 32981-2024 FSC-klagomål mail.docx", "A 32981-2024")</f>
        <v/>
      </c>
      <c r="AC10">
        <f>HYPERLINK("https://klasma.github.io/Logging_0682/tillsyn/A 32981-2024 tillsynsbegäran.docx", "A 32981-2024")</f>
        <v/>
      </c>
      <c r="AD10">
        <f>HYPERLINK("https://klasma.github.io/Logging_0682/tillsynsmail/A 32981-2024 tillsynsbegäran mail.docx", "A 32981-2024")</f>
        <v/>
      </c>
    </row>
    <row r="11" ht="15" customHeight="1">
      <c r="A11" t="inlineStr">
        <is>
          <t>A 45051-2025</t>
        </is>
      </c>
      <c r="B11" t="inlineStr">
        <is>
          <t>avverkningsanmälan</t>
        </is>
      </c>
      <c r="C11" t="inlineStr">
        <is>
          <t>Föryngringsavverkning</t>
        </is>
      </c>
      <c r="D11" s="1" t="n">
        <v>45919</v>
      </c>
      <c r="E11" s="1" t="n">
        <v>46322</v>
      </c>
      <c r="F11" t="inlineStr">
        <is>
          <t>JÖNKÖPINGS LÄN</t>
        </is>
      </c>
      <c r="G11" t="inlineStr">
        <is>
          <t>NÄSSJÖ</t>
        </is>
      </c>
      <c r="I11" t="n">
        <v>0.8</v>
      </c>
      <c r="J11" t="n">
        <v>2</v>
      </c>
      <c r="K11" t="n">
        <v>1</v>
      </c>
      <c r="L11" t="n">
        <v>1</v>
      </c>
      <c r="M11" t="n">
        <v>1</v>
      </c>
      <c r="N11" t="n">
        <v>0</v>
      </c>
      <c r="O11" t="n">
        <v>0</v>
      </c>
      <c r="P11" t="n">
        <v>0</v>
      </c>
      <c r="Q11" t="n">
        <v>2</v>
      </c>
      <c r="R11" t="n">
        <v>1</v>
      </c>
      <c r="S11" t="n">
        <v>4</v>
      </c>
      <c r="T11" t="n">
        <v>5</v>
      </c>
      <c r="U11" t="n">
        <v>4</v>
      </c>
      <c r="V11" s="2" t="inlineStr">
        <is>
          <t>Knärot
Gransotdyna
Brandticka
Gröngöling</t>
        </is>
      </c>
      <c r="W11">
        <f>HYPERLINK("https://klasma.github.io/Logging_0682/artfynd/A 45051-2025 artfynd.xlsx", "A 45051-2025")</f>
        <v/>
      </c>
      <c r="X11">
        <f>HYPERLINK("https://klasma.github.io/Logging_0682/kartor/A 45051-2025 karta.png", "A 45051-2025")</f>
        <v/>
      </c>
      <c r="Y11">
        <f>HYPERLINK("https://klasma.github.io/Logging_0682/kartor_geotiff/A 45051-2025 georefererad karta.tif", "A 45051-2025")</f>
        <v/>
      </c>
      <c r="Z11">
        <f>HYPERLINK("https://klasma.github.io/Logging_0682/knärot/A 45051-2025 karta knärot.png", "A 45051-2025")</f>
        <v/>
      </c>
      <c r="AA11">
        <f>HYPERLINK("https://klasma.github.io/Logging_0682/klagomål/A 45051-2025 FSC-klagomål.docx", "A 45051-2025")</f>
        <v/>
      </c>
      <c r="AB11">
        <f>HYPERLINK("https://klasma.github.io/Logging_0682/klagomålsmail/A 45051-2025 FSC-klagomål mail.docx", "A 45051-2025")</f>
        <v/>
      </c>
      <c r="AC11">
        <f>HYPERLINK("https://klasma.github.io/Logging_0682/tillsyn/A 45051-2025 tillsynsbegäran.docx", "A 45051-2025")</f>
        <v/>
      </c>
      <c r="AD11">
        <f>HYPERLINK("https://klasma.github.io/Logging_0682/tillsynsmail/A 45051-2025 tillsynsbegäran mail.docx", "A 45051-2025")</f>
        <v/>
      </c>
    </row>
    <row r="12" ht="15" customHeight="1">
      <c r="A12" t="inlineStr">
        <is>
          <t>A 14539-2024</t>
        </is>
      </c>
      <c r="B12" t="inlineStr">
        <is>
          <t>avverkningsanmälan</t>
        </is>
      </c>
      <c r="C12" t="inlineStr">
        <is>
          <t>Föryngringsavverkning</t>
        </is>
      </c>
      <c r="D12" s="1" t="n">
        <v>45394</v>
      </c>
      <c r="E12" s="1" t="n">
        <v>46322</v>
      </c>
      <c r="F12" t="inlineStr">
        <is>
          <t>JÖNKÖPINGS LÄN</t>
        </is>
      </c>
      <c r="G12" t="inlineStr">
        <is>
          <t>NÄSSJÖ</t>
        </is>
      </c>
      <c r="I12" t="n">
        <v>9.9</v>
      </c>
      <c r="J12" t="n">
        <v>4</v>
      </c>
      <c r="K12" t="n">
        <v>0</v>
      </c>
      <c r="L12" t="n">
        <v>2</v>
      </c>
      <c r="M12" t="n">
        <v>1</v>
      </c>
      <c r="N12" t="n">
        <v>0</v>
      </c>
      <c r="O12" t="n">
        <v>0</v>
      </c>
      <c r="P12" t="n">
        <v>0</v>
      </c>
      <c r="Q12" t="n">
        <v>3</v>
      </c>
      <c r="R12" t="n">
        <v>1</v>
      </c>
      <c r="S12" t="n">
        <v>4</v>
      </c>
      <c r="T12" t="n">
        <v>4</v>
      </c>
      <c r="U12" t="n">
        <v>1</v>
      </c>
      <c r="V12" s="2" t="inlineStr">
        <is>
          <t>Blå kärrhök
Entita
Flodsångare
Kungsfågel</t>
        </is>
      </c>
      <c r="W12">
        <f>HYPERLINK("https://klasma.github.io/Logging_0682/artfynd/A 14539-2024 artfynd.xlsx", "A 14539-2024")</f>
        <v/>
      </c>
      <c r="X12">
        <f>HYPERLINK("https://klasma.github.io/Logging_0682/kartor/A 14539-2024 karta.png", "A 14539-2024")</f>
        <v/>
      </c>
      <c r="Y12">
        <f>HYPERLINK("https://klasma.github.io/Logging_0682/kartor_geotiff/A 14539-2024 georefererad karta.tif", "A 14539-2024")</f>
        <v/>
      </c>
      <c r="AA12">
        <f>HYPERLINK("https://klasma.github.io/Logging_0682/klagomål/A 14539-2024 FSC-klagomål.docx", "A 14539-2024")</f>
        <v/>
      </c>
      <c r="AB12">
        <f>HYPERLINK("https://klasma.github.io/Logging_0682/klagomålsmail/A 14539-2024 FSC-klagomål mail.docx", "A 14539-2024")</f>
        <v/>
      </c>
      <c r="AC12">
        <f>HYPERLINK("https://klasma.github.io/Logging_0682/tillsyn/A 14539-2024 tillsynsbegäran.docx", "A 14539-2024")</f>
        <v/>
      </c>
      <c r="AD12">
        <f>HYPERLINK("https://klasma.github.io/Logging_0682/tillsynsmail/A 14539-2024 tillsynsbegäran mail.docx", "A 14539-2024")</f>
        <v/>
      </c>
      <c r="AE12">
        <f>HYPERLINK("https://klasma.github.io/Logging_0682/fåglar/A 14539-2024 prioriterade fågelarter.docx", "A 14539-2024")</f>
        <v/>
      </c>
    </row>
    <row r="13" ht="15" customHeight="1">
      <c r="A13" t="inlineStr">
        <is>
          <t>S 1376-2024</t>
        </is>
      </c>
      <c r="B13" t="inlineStr">
        <is>
          <t>samrådsanmälan</t>
        </is>
      </c>
      <c r="C13" t="inlineStr">
        <is>
          <t>Askåterföring</t>
        </is>
      </c>
      <c r="D13" s="1" t="n">
        <v>45411</v>
      </c>
      <c r="E13" s="1" t="n">
        <v>46322</v>
      </c>
      <c r="F13" t="inlineStr">
        <is>
          <t>JÖNKÖPINGS LÄN</t>
        </is>
      </c>
      <c r="G13" t="inlineStr">
        <is>
          <t>NÄSSJÖ</t>
        </is>
      </c>
      <c r="I13" t="n">
        <v>59.4</v>
      </c>
      <c r="J13" t="n">
        <v>0</v>
      </c>
      <c r="K13" t="n">
        <v>3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4</v>
      </c>
      <c r="T13" t="n">
        <v>4</v>
      </c>
      <c r="U13" t="n">
        <v>0</v>
      </c>
      <c r="V13" s="2" t="inlineStr">
        <is>
          <t>Gul dropplav
Fällmossa
Gulpudrad spiklav
Sotlav</t>
        </is>
      </c>
      <c r="W13">
        <f>HYPERLINK("https://klasma.github.io/Logging_0682/artfynd/S 1376-2024 artfynd.xlsx", "S 1376-2024")</f>
        <v/>
      </c>
      <c r="X13">
        <f>HYPERLINK("https://klasma.github.io/Logging_0682/kartor/S 1376-2024 karta.png", "S 1376-2024")</f>
        <v/>
      </c>
      <c r="Y13">
        <f>HYPERLINK("https://klasma.github.io/Logging_0682/kartor_geotiff/S 1376-2024 georefererad karta.tif", "S 1376-2024")</f>
        <v/>
      </c>
      <c r="AA13">
        <f>HYPERLINK("https://klasma.github.io/Logging_0682/klagomål/S 1376-2024 FSC-klagomål.docx", "S 1376-2024")</f>
        <v/>
      </c>
      <c r="AB13">
        <f>HYPERLINK("https://klasma.github.io/Logging_0682/klagomålsmail/S 1376-2024 FSC-klagomål mail.docx", "S 1376-2024")</f>
        <v/>
      </c>
      <c r="AC13">
        <f>HYPERLINK("https://klasma.github.io/Logging_0682/tillsyn/S 1376-2024 tillsynsbegäran.docx", "S 1376-2024")</f>
        <v/>
      </c>
      <c r="AD13">
        <f>HYPERLINK("https://klasma.github.io/Logging_0682/tillsynsmail/S 1376-2024 tillsynsbegäran mail.docx", "S 1376-2024")</f>
        <v/>
      </c>
    </row>
    <row r="14" ht="15" customHeight="1">
      <c r="A14" t="inlineStr">
        <is>
          <t>S 1671-2025</t>
        </is>
      </c>
      <c r="B14" t="inlineStr">
        <is>
          <t>samrådsanmälan</t>
        </is>
      </c>
      <c r="C14" t="inlineStr">
        <is>
          <t>Askåterföring</t>
        </is>
      </c>
      <c r="D14" s="1" t="n">
        <v>45804</v>
      </c>
      <c r="E14" s="1" t="n">
        <v>46322</v>
      </c>
      <c r="F14" t="inlineStr">
        <is>
          <t>JÖNKÖPINGS LÄN</t>
        </is>
      </c>
      <c r="G14" t="inlineStr">
        <is>
          <t>NÄSSJÖ</t>
        </is>
      </c>
      <c r="I14" t="n">
        <v>9.9</v>
      </c>
      <c r="J14" t="n">
        <v>4</v>
      </c>
      <c r="K14" t="n">
        <v>0</v>
      </c>
      <c r="L14" t="n">
        <v>2</v>
      </c>
      <c r="M14" t="n">
        <v>0</v>
      </c>
      <c r="N14" t="n">
        <v>0</v>
      </c>
      <c r="O14" t="n">
        <v>0</v>
      </c>
      <c r="P14" t="n">
        <v>0</v>
      </c>
      <c r="Q14" t="n">
        <v>2</v>
      </c>
      <c r="R14" t="n">
        <v>0</v>
      </c>
      <c r="S14" t="n">
        <v>4</v>
      </c>
      <c r="T14" t="n">
        <v>4</v>
      </c>
      <c r="U14" t="n">
        <v>4</v>
      </c>
      <c r="V14" s="2" t="inlineStr">
        <is>
          <t>Brunlångöra
Nordfladdermus
Dvärgpipistrell
Större brunfladdermus</t>
        </is>
      </c>
      <c r="W14">
        <f>HYPERLINK("https://klasma.github.io/Logging_0682/artfynd/S 1671-2025 artfynd.xlsx", "S 1671-2025")</f>
        <v/>
      </c>
      <c r="X14">
        <f>HYPERLINK("https://klasma.github.io/Logging_0682/kartor/S 1671-2025 karta.png", "S 1671-2025")</f>
        <v/>
      </c>
      <c r="Y14">
        <f>HYPERLINK("https://klasma.github.io/Logging_0682/kartor_geotiff/S 1671-2025 georefererad karta.tif", "S 1671-2025")</f>
        <v/>
      </c>
      <c r="AA14">
        <f>HYPERLINK("https://klasma.github.io/Logging_0682/klagomål/S 1671-2025 FSC-klagomål.docx", "S 1671-2025")</f>
        <v/>
      </c>
      <c r="AB14">
        <f>HYPERLINK("https://klasma.github.io/Logging_0682/klagomålsmail/S 1671-2025 FSC-klagomål mail.docx", "S 1671-2025")</f>
        <v/>
      </c>
      <c r="AC14">
        <f>HYPERLINK("https://klasma.github.io/Logging_0682/tillsyn/S 1671-2025 tillsynsbegäran.docx", "S 1671-2025")</f>
        <v/>
      </c>
      <c r="AD14">
        <f>HYPERLINK("https://klasma.github.io/Logging_0682/tillsynsmail/S 1671-2025 tillsynsbegäran mail.docx", "S 1671-2025")</f>
        <v/>
      </c>
    </row>
    <row r="15" ht="15" customHeight="1">
      <c r="A15" t="inlineStr">
        <is>
          <t>A 5433-2025</t>
        </is>
      </c>
      <c r="B15" t="inlineStr">
        <is>
          <t>avverkningsanmälan</t>
        </is>
      </c>
      <c r="C15" t="inlineStr">
        <is>
          <t>Föryngringsavverkning</t>
        </is>
      </c>
      <c r="D15" s="1" t="n">
        <v>45692</v>
      </c>
      <c r="E15" s="1" t="n">
        <v>46322</v>
      </c>
      <c r="F15" t="inlineStr">
        <is>
          <t>JÖNKÖPINGS LÄN</t>
        </is>
      </c>
      <c r="G15" t="inlineStr">
        <is>
          <t>NÄSSJÖ</t>
        </is>
      </c>
      <c r="I15" t="n">
        <v>7.9</v>
      </c>
      <c r="J15" t="n">
        <v>0</v>
      </c>
      <c r="K15" t="n">
        <v>0</v>
      </c>
      <c r="L15" t="n">
        <v>2</v>
      </c>
      <c r="M15" t="n">
        <v>1</v>
      </c>
      <c r="N15" t="n">
        <v>0</v>
      </c>
      <c r="O15" t="n">
        <v>0</v>
      </c>
      <c r="P15" t="n">
        <v>0</v>
      </c>
      <c r="Q15" t="n">
        <v>3</v>
      </c>
      <c r="R15" t="n">
        <v>1</v>
      </c>
      <c r="S15" t="n">
        <v>3</v>
      </c>
      <c r="T15" t="n">
        <v>3</v>
      </c>
      <c r="U15" t="n">
        <v>0</v>
      </c>
      <c r="V15" s="2" t="inlineStr">
        <is>
          <t>Slåttergubbe
Jungfrulin
Svinrot</t>
        </is>
      </c>
      <c r="W15">
        <f>HYPERLINK("https://klasma.github.io/Logging_0682/artfynd/A 5433-2025 artfynd.xlsx", "A 5433-2025")</f>
        <v/>
      </c>
      <c r="X15">
        <f>HYPERLINK("https://klasma.github.io/Logging_0682/kartor/A 5433-2025 karta.png", "A 5433-2025")</f>
        <v/>
      </c>
      <c r="Y15">
        <f>HYPERLINK("https://klasma.github.io/Logging_0682/kartor_geotiff/A 5433-2025 georefererad karta.tif", "A 5433-2025")</f>
        <v/>
      </c>
      <c r="AA15">
        <f>HYPERLINK("https://klasma.github.io/Logging_0682/klagomål/A 5433-2025 FSC-klagomål.docx", "A 5433-2025")</f>
        <v/>
      </c>
      <c r="AB15">
        <f>HYPERLINK("https://klasma.github.io/Logging_0682/klagomålsmail/A 5433-2025 FSC-klagomål mail.docx", "A 5433-2025")</f>
        <v/>
      </c>
      <c r="AC15">
        <f>HYPERLINK("https://klasma.github.io/Logging_0682/tillsyn/A 5433-2025 tillsynsbegäran.docx", "A 5433-2025")</f>
        <v/>
      </c>
      <c r="AD15">
        <f>HYPERLINK("https://klasma.github.io/Logging_0682/tillsynsmail/A 5433-2025 tillsynsbegäran mail.docx", "A 5433-2025")</f>
        <v/>
      </c>
    </row>
    <row r="16" ht="15" customHeight="1">
      <c r="A16" t="inlineStr">
        <is>
          <t>A 41961-2026</t>
        </is>
      </c>
      <c r="B16" t="inlineStr">
        <is>
          <t>avverkningsanmälan</t>
        </is>
      </c>
      <c r="C16" t="inlineStr">
        <is>
          <t>Föryngringsavverkning</t>
        </is>
      </c>
      <c r="D16" s="1" t="n">
        <v>46303</v>
      </c>
      <c r="E16" s="1" t="n">
        <v>46322</v>
      </c>
      <c r="F16" t="inlineStr">
        <is>
          <t>JÖNKÖPINGS LÄN</t>
        </is>
      </c>
      <c r="G16" t="inlineStr">
        <is>
          <t>NÄSSJÖ</t>
        </is>
      </c>
      <c r="I16" t="n">
        <v>4.6</v>
      </c>
      <c r="J16" t="n">
        <v>0</v>
      </c>
      <c r="K16" t="n">
        <v>0</v>
      </c>
      <c r="L16" t="n">
        <v>1</v>
      </c>
      <c r="M16" t="n">
        <v>2</v>
      </c>
      <c r="N16" t="n">
        <v>0</v>
      </c>
      <c r="O16" t="n">
        <v>0</v>
      </c>
      <c r="P16" t="n">
        <v>0</v>
      </c>
      <c r="Q16" t="n">
        <v>3</v>
      </c>
      <c r="R16" t="n">
        <v>2</v>
      </c>
      <c r="S16" t="n">
        <v>3</v>
      </c>
      <c r="T16" t="n">
        <v>3</v>
      </c>
      <c r="U16" t="n">
        <v>0</v>
      </c>
      <c r="V16" s="2" t="inlineStr">
        <is>
          <t>Mindre blåvinge
Sexfläckig bastardsvärmare
Ängsmetallvinge</t>
        </is>
      </c>
      <c r="W16">
        <f>HYPERLINK("https://klasma.github.io/Logging_0682/artfynd/A 41961-2026 artfynd.xlsx", "A 41961-2026")</f>
        <v/>
      </c>
      <c r="X16">
        <f>HYPERLINK("https://klasma.github.io/Logging_0682/kartor/A 41961-2026 karta.png", "A 41961-2026")</f>
        <v/>
      </c>
      <c r="Y16">
        <f>HYPERLINK("https://klasma.github.io/Logging_0682/kartor_geotiff/A 41961-2026 georefererad karta.tif", "A 41961-2026")</f>
        <v/>
      </c>
      <c r="AA16">
        <f>HYPERLINK("https://klasma.github.io/Logging_0682/klagomål/A 41961-2026 FSC-klagomål.docx", "A 41961-2026")</f>
        <v/>
      </c>
      <c r="AB16">
        <f>HYPERLINK("https://klasma.github.io/Logging_0682/klagomålsmail/A 41961-2026 FSC-klagomål mail.docx", "A 41961-2026")</f>
        <v/>
      </c>
      <c r="AC16">
        <f>HYPERLINK("https://klasma.github.io/Logging_0682/tillsyn/A 41961-2026 tillsynsbegäran.docx", "A 41961-2026")</f>
        <v/>
      </c>
      <c r="AD16">
        <f>HYPERLINK("https://klasma.github.io/Logging_0682/tillsynsmail/A 41961-2026 tillsynsbegäran mail.docx", "A 41961-2026")</f>
        <v/>
      </c>
    </row>
    <row r="17" ht="15" customHeight="1">
      <c r="A17" t="inlineStr">
        <is>
          <t>S 1265-2023</t>
        </is>
      </c>
      <c r="B17" t="inlineStr">
        <is>
          <t>samrådsanmälan</t>
        </is>
      </c>
      <c r="C17" t="inlineStr">
        <is>
          <t>Askåterföring</t>
        </is>
      </c>
      <c r="D17" s="1" t="n">
        <v>45029</v>
      </c>
      <c r="E17" s="1" t="n">
        <v>46322</v>
      </c>
      <c r="F17" t="inlineStr">
        <is>
          <t>JÖNKÖPINGS LÄN</t>
        </is>
      </c>
      <c r="G17" t="inlineStr">
        <is>
          <t>NÄSSJÖ</t>
        </is>
      </c>
      <c r="I17" t="n">
        <v>40.9</v>
      </c>
      <c r="J17" t="n">
        <v>0</v>
      </c>
      <c r="K17" t="n">
        <v>2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3</v>
      </c>
      <c r="T17" t="n">
        <v>3</v>
      </c>
      <c r="U17" t="n">
        <v>2</v>
      </c>
      <c r="V17" s="2" t="inlineStr">
        <is>
          <t>Älg
Gulnål
Kornig nållav</t>
        </is>
      </c>
      <c r="W17">
        <f>HYPERLINK("https://klasma.github.io/Logging_0682/artfynd/S 1265-2023 artfynd.xlsx", "S 1265-2023")</f>
        <v/>
      </c>
      <c r="X17">
        <f>HYPERLINK("https://klasma.github.io/Logging_0682/kartor/S 1265-2023 karta.png", "S 1265-2023")</f>
        <v/>
      </c>
      <c r="Y17">
        <f>HYPERLINK("https://klasma.github.io/Logging_0682/kartor_geotiff/S 1265-2023 georefererad karta.tif", "S 1265-2023")</f>
        <v/>
      </c>
      <c r="AA17">
        <f>HYPERLINK("https://klasma.github.io/Logging_0682/klagomål/S 1265-2023 FSC-klagomål.docx", "S 1265-2023")</f>
        <v/>
      </c>
      <c r="AB17">
        <f>HYPERLINK("https://klasma.github.io/Logging_0682/klagomålsmail/S 1265-2023 FSC-klagomål mail.docx", "S 1265-2023")</f>
        <v/>
      </c>
      <c r="AC17">
        <f>HYPERLINK("https://klasma.github.io/Logging_0682/tillsyn/S 1265-2023 tillsynsbegäran.docx", "S 1265-2023")</f>
        <v/>
      </c>
      <c r="AD17">
        <f>HYPERLINK("https://klasma.github.io/Logging_0682/tillsynsmail/S 1265-2023 tillsynsbegäran mail.docx", "S 1265-2023")</f>
        <v/>
      </c>
    </row>
    <row r="18" ht="15" customHeight="1">
      <c r="A18" t="inlineStr">
        <is>
          <t>A 34527-2025</t>
        </is>
      </c>
      <c r="B18" t="inlineStr">
        <is>
          <t>avverkningsanmälan</t>
        </is>
      </c>
      <c r="C18" t="inlineStr">
        <is>
          <t>Föryngringsavverkning</t>
        </is>
      </c>
      <c r="D18" s="1" t="n">
        <v>45846</v>
      </c>
      <c r="E18" s="1" t="n">
        <v>46322</v>
      </c>
      <c r="F18" t="inlineStr">
        <is>
          <t>JÖNKÖPINGS LÄN</t>
        </is>
      </c>
      <c r="G18" t="inlineStr">
        <is>
          <t>NÄSSJÖ</t>
        </is>
      </c>
      <c r="H18" t="inlineStr">
        <is>
          <t>Kyrkan</t>
        </is>
      </c>
      <c r="I18" t="n">
        <v>6.2</v>
      </c>
      <c r="J18" t="n">
        <v>0</v>
      </c>
      <c r="K18" t="n">
        <v>0</v>
      </c>
      <c r="L18" t="n">
        <v>2</v>
      </c>
      <c r="M18" t="n">
        <v>0</v>
      </c>
      <c r="N18" t="n">
        <v>0</v>
      </c>
      <c r="O18" t="n">
        <v>0</v>
      </c>
      <c r="P18" t="n">
        <v>0</v>
      </c>
      <c r="Q18" t="n">
        <v>2</v>
      </c>
      <c r="R18" t="n">
        <v>0</v>
      </c>
      <c r="S18" t="n">
        <v>2</v>
      </c>
      <c r="T18" t="n">
        <v>4</v>
      </c>
      <c r="U18" t="n">
        <v>3</v>
      </c>
      <c r="V18" s="2" t="inlineStr">
        <is>
          <t>Jungfrulin
Svinrot</t>
        </is>
      </c>
      <c r="W18">
        <f>HYPERLINK("https://klasma.github.io/Logging_0682/artfynd/A 34527-2025 artfynd.xlsx", "A 34527-2025")</f>
        <v/>
      </c>
      <c r="X18">
        <f>HYPERLINK("https://klasma.github.io/Logging_0682/kartor/A 34527-2025 karta.png", "A 34527-2025")</f>
        <v/>
      </c>
      <c r="Y18">
        <f>HYPERLINK("https://klasma.github.io/Logging_0682/kartor_geotiff/A 34527-2025 georefererad karta.tif", "A 34527-2025")</f>
        <v/>
      </c>
      <c r="AA18">
        <f>HYPERLINK("https://klasma.github.io/Logging_0682/klagomål/A 34527-2025 FSC-klagomål.docx", "A 34527-2025")</f>
        <v/>
      </c>
      <c r="AB18">
        <f>HYPERLINK("https://klasma.github.io/Logging_0682/klagomålsmail/A 34527-2025 FSC-klagomål mail.docx", "A 34527-2025")</f>
        <v/>
      </c>
      <c r="AC18">
        <f>HYPERLINK("https://klasma.github.io/Logging_0682/tillsyn/A 34527-2025 tillsynsbegäran.docx", "A 34527-2025")</f>
        <v/>
      </c>
      <c r="AD18">
        <f>HYPERLINK("https://klasma.github.io/Logging_0682/tillsynsmail/A 34527-2025 tillsynsbegäran mail.docx", "A 34527-2025")</f>
        <v/>
      </c>
    </row>
    <row r="19" ht="15" customHeight="1">
      <c r="A19" t="inlineStr">
        <is>
          <t>A 34674-2026</t>
        </is>
      </c>
      <c r="B19" t="inlineStr">
        <is>
          <t>avverkningsanmälan</t>
        </is>
      </c>
      <c r="C19" t="inlineStr">
        <is>
          <t>Föryngringsavverkning</t>
        </is>
      </c>
      <c r="D19" s="1" t="n">
        <v>46258</v>
      </c>
      <c r="E19" s="1" t="n">
        <v>46322</v>
      </c>
      <c r="F19" t="inlineStr">
        <is>
          <t>JÖNKÖPINGS LÄN</t>
        </is>
      </c>
      <c r="G19" t="inlineStr">
        <is>
          <t>NÄSSJÖ</t>
        </is>
      </c>
      <c r="I19" t="n">
        <v>0.7</v>
      </c>
      <c r="J19" t="n">
        <v>0</v>
      </c>
      <c r="K19" t="n">
        <v>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</v>
      </c>
      <c r="T19" t="n">
        <v>2</v>
      </c>
      <c r="U19" t="n">
        <v>0</v>
      </c>
      <c r="V19" s="2" t="inlineStr">
        <is>
          <t>Bronshjon
Kornig nållav</t>
        </is>
      </c>
      <c r="W19">
        <f>HYPERLINK("https://klasma.github.io/Logging_0682/artfynd/A 34674-2026 artfynd.xlsx", "A 34674-2026")</f>
        <v/>
      </c>
      <c r="X19">
        <f>HYPERLINK("https://klasma.github.io/Logging_0682/kartor/A 34674-2026 karta.png", "A 34674-2026")</f>
        <v/>
      </c>
      <c r="Y19">
        <f>HYPERLINK("https://klasma.github.io/Logging_0682/kartor_geotiff/A 34674-2026 georefererad karta.tif", "A 34674-2026")</f>
        <v/>
      </c>
      <c r="AA19">
        <f>HYPERLINK("https://klasma.github.io/Logging_0682/klagomål/A 34674-2026 FSC-klagomål.docx", "A 34674-2026")</f>
        <v/>
      </c>
      <c r="AB19">
        <f>HYPERLINK("https://klasma.github.io/Logging_0682/klagomålsmail/A 34674-2026 FSC-klagomål mail.docx", "A 34674-2026")</f>
        <v/>
      </c>
      <c r="AC19">
        <f>HYPERLINK("https://klasma.github.io/Logging_0682/tillsyn/A 34674-2026 tillsynsbegäran.docx", "A 34674-2026")</f>
        <v/>
      </c>
      <c r="AD19">
        <f>HYPERLINK("https://klasma.github.io/Logging_0682/tillsynsmail/A 34674-2026 tillsynsbegäran mail.docx", "A 34674-2026")</f>
        <v/>
      </c>
    </row>
    <row r="20" ht="15" customHeight="1">
      <c r="A20" t="inlineStr">
        <is>
          <t>S 1136-2024</t>
        </is>
      </c>
      <c r="B20" t="inlineStr">
        <is>
          <t>samrådsanmälan</t>
        </is>
      </c>
      <c r="C20" t="inlineStr">
        <is>
          <t>Askåterföring</t>
        </is>
      </c>
      <c r="D20" s="1" t="n">
        <v>45393</v>
      </c>
      <c r="E20" s="1" t="n">
        <v>46322</v>
      </c>
      <c r="F20" t="inlineStr">
        <is>
          <t>JÖNKÖPINGS LÄN</t>
        </is>
      </c>
      <c r="G20" t="inlineStr">
        <is>
          <t>NÄSSJÖ</t>
        </is>
      </c>
      <c r="I20" t="n">
        <v>18.3</v>
      </c>
      <c r="J20" t="n">
        <v>0</v>
      </c>
      <c r="K20" t="n">
        <v>1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1</v>
      </c>
      <c r="R20" t="n">
        <v>1</v>
      </c>
      <c r="S20" t="n">
        <v>2</v>
      </c>
      <c r="T20" t="n">
        <v>2</v>
      </c>
      <c r="U20" t="n">
        <v>1</v>
      </c>
      <c r="V20" s="2" t="inlineStr">
        <is>
          <t>Åkerrättika
Grönpyrola</t>
        </is>
      </c>
      <c r="W20">
        <f>HYPERLINK("https://klasma.github.io/Logging_0682/artfynd/S 1136-2024 artfynd.xlsx", "S 1136-2024")</f>
        <v/>
      </c>
      <c r="X20">
        <f>HYPERLINK("https://klasma.github.io/Logging_0682/kartor/S 1136-2024 karta.png", "S 1136-2024")</f>
        <v/>
      </c>
      <c r="Y20">
        <f>HYPERLINK("https://klasma.github.io/Logging_0682/kartor_geotiff/S 1136-2024 georefererad karta.tif", "S 1136-2024")</f>
        <v/>
      </c>
      <c r="AA20">
        <f>HYPERLINK("https://klasma.github.io/Logging_0682/klagomål/S 1136-2024 FSC-klagomål.docx", "S 1136-2024")</f>
        <v/>
      </c>
      <c r="AB20">
        <f>HYPERLINK("https://klasma.github.io/Logging_0682/klagomålsmail/S 1136-2024 FSC-klagomål mail.docx", "S 1136-2024")</f>
        <v/>
      </c>
      <c r="AC20">
        <f>HYPERLINK("https://klasma.github.io/Logging_0682/tillsyn/S 1136-2024 tillsynsbegäran.docx", "S 1136-2024")</f>
        <v/>
      </c>
      <c r="AD20">
        <f>HYPERLINK("https://klasma.github.io/Logging_0682/tillsynsmail/S 1136-2024 tillsynsbegäran mail.docx", "S 1136-2024")</f>
        <v/>
      </c>
    </row>
    <row r="21" ht="15" customHeight="1">
      <c r="A21" t="inlineStr">
        <is>
          <t>S 1468-2024</t>
        </is>
      </c>
      <c r="B21" t="inlineStr">
        <is>
          <t>samrådsanmälan</t>
        </is>
      </c>
      <c r="C21" t="inlineStr">
        <is>
          <t>Askåterföring</t>
        </is>
      </c>
      <c r="D21" s="1" t="n">
        <v>45419</v>
      </c>
      <c r="E21" s="1" t="n">
        <v>46322</v>
      </c>
      <c r="F21" t="inlineStr">
        <is>
          <t>JÖNKÖPINGS LÄN</t>
        </is>
      </c>
      <c r="G21" t="inlineStr">
        <is>
          <t>NÄSSJÖ</t>
        </is>
      </c>
      <c r="I21" t="n">
        <v>20.8</v>
      </c>
      <c r="J21" t="n">
        <v>1</v>
      </c>
      <c r="K21" t="n">
        <v>0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2</v>
      </c>
      <c r="T21" t="n">
        <v>2</v>
      </c>
      <c r="U21" t="n">
        <v>0</v>
      </c>
      <c r="V21" s="2" t="inlineStr">
        <is>
          <t>Svart skogssnigel
Röd glada</t>
        </is>
      </c>
      <c r="W21">
        <f>HYPERLINK("https://klasma.github.io/Logging_0682/artfynd/S 1468-2024 artfynd.xlsx", "S 1468-2024")</f>
        <v/>
      </c>
      <c r="X21">
        <f>HYPERLINK("https://klasma.github.io/Logging_0682/kartor/S 1468-2024 karta.png", "S 1468-2024")</f>
        <v/>
      </c>
      <c r="Y21">
        <f>HYPERLINK("https://klasma.github.io/Logging_0682/kartor_geotiff/S 1468-2024 georefererad karta.tif", "S 1468-2024")</f>
        <v/>
      </c>
      <c r="AA21">
        <f>HYPERLINK("https://klasma.github.io/Logging_0682/klagomål/S 1468-2024 FSC-klagomål.docx", "S 1468-2024")</f>
        <v/>
      </c>
      <c r="AB21">
        <f>HYPERLINK("https://klasma.github.io/Logging_0682/klagomålsmail/S 1468-2024 FSC-klagomål mail.docx", "S 1468-2024")</f>
        <v/>
      </c>
      <c r="AC21">
        <f>HYPERLINK("https://klasma.github.io/Logging_0682/tillsyn/S 1468-2024 tillsynsbegäran.docx", "S 1468-2024")</f>
        <v/>
      </c>
      <c r="AD21">
        <f>HYPERLINK("https://klasma.github.io/Logging_0682/tillsynsmail/S 1468-2024 tillsynsbegäran mail.docx", "S 1468-2024")</f>
        <v/>
      </c>
      <c r="AE21">
        <f>HYPERLINK("https://klasma.github.io/Logging_0682/fåglar/S 1468-2024 prioriterade fågelarter.docx", "S 1468-2024")</f>
        <v/>
      </c>
    </row>
    <row r="22" ht="15" customHeight="1">
      <c r="A22" t="inlineStr">
        <is>
          <t>S 1735-2025</t>
        </is>
      </c>
      <c r="B22" t="inlineStr">
        <is>
          <t>samrådsanmälan</t>
        </is>
      </c>
      <c r="C22" t="inlineStr">
        <is>
          <t>Askåterföring</t>
        </is>
      </c>
      <c r="D22" s="1" t="n">
        <v>45810</v>
      </c>
      <c r="E22" s="1" t="n">
        <v>46322</v>
      </c>
      <c r="F22" t="inlineStr">
        <is>
          <t>JÖNKÖPINGS LÄN</t>
        </is>
      </c>
      <c r="G22" t="inlineStr">
        <is>
          <t>NÄSSJÖ</t>
        </is>
      </c>
      <c r="I22" t="n">
        <v>14.6</v>
      </c>
      <c r="J22" t="n">
        <v>0</v>
      </c>
      <c r="K22" t="n">
        <v>0</v>
      </c>
      <c r="L22" t="n">
        <v>2</v>
      </c>
      <c r="M22" t="n">
        <v>0</v>
      </c>
      <c r="N22" t="n">
        <v>0</v>
      </c>
      <c r="O22" t="n">
        <v>0</v>
      </c>
      <c r="P22" t="n">
        <v>0</v>
      </c>
      <c r="Q22" t="n">
        <v>2</v>
      </c>
      <c r="R22" t="n">
        <v>0</v>
      </c>
      <c r="S22" t="n">
        <v>2</v>
      </c>
      <c r="T22" t="n">
        <v>2</v>
      </c>
      <c r="U22" t="n">
        <v>1</v>
      </c>
      <c r="V22" s="2" t="inlineStr">
        <is>
          <t>Dofttaggsvamp
Svart skogssnigel</t>
        </is>
      </c>
      <c r="W22">
        <f>HYPERLINK("https://klasma.github.io/Logging_0682/artfynd/S 1735-2025 artfynd.xlsx", "S 1735-2025")</f>
        <v/>
      </c>
      <c r="X22">
        <f>HYPERLINK("https://klasma.github.io/Logging_0682/kartor/S 1735-2025 karta.png", "S 1735-2025")</f>
        <v/>
      </c>
      <c r="Y22">
        <f>HYPERLINK("https://klasma.github.io/Logging_0682/kartor_geotiff/S 1735-2025 georefererad karta.tif", "S 1735-2025")</f>
        <v/>
      </c>
      <c r="AA22">
        <f>HYPERLINK("https://klasma.github.io/Logging_0682/klagomål/S 1735-2025 FSC-klagomål.docx", "S 1735-2025")</f>
        <v/>
      </c>
      <c r="AB22">
        <f>HYPERLINK("https://klasma.github.io/Logging_0682/klagomålsmail/S 1735-2025 FSC-klagomål mail.docx", "S 1735-2025")</f>
        <v/>
      </c>
      <c r="AC22">
        <f>HYPERLINK("https://klasma.github.io/Logging_0682/tillsyn/S 1735-2025 tillsynsbegäran.docx", "S 1735-2025")</f>
        <v/>
      </c>
      <c r="AD22">
        <f>HYPERLINK("https://klasma.github.io/Logging_0682/tillsynsmail/S 1735-2025 tillsynsbegäran mail.docx", "S 1735-2025")</f>
        <v/>
      </c>
    </row>
    <row r="23" ht="15" customHeight="1">
      <c r="A23" t="inlineStr">
        <is>
          <t>A 70820-2021</t>
        </is>
      </c>
      <c r="B23" t="inlineStr">
        <is>
          <t>avverkningsanmälan</t>
        </is>
      </c>
      <c r="C23" t="inlineStr">
        <is>
          <t>Avverkning för att bevara och utveckla /försöksver</t>
        </is>
      </c>
      <c r="D23" s="1" t="n">
        <v>44537</v>
      </c>
      <c r="E23" s="1" t="n">
        <v>46322</v>
      </c>
      <c r="F23" t="inlineStr">
        <is>
          <t>JÖNKÖPINGS LÄN</t>
        </is>
      </c>
      <c r="G23" t="inlineStr">
        <is>
          <t>NÄSSJÖ</t>
        </is>
      </c>
      <c r="I23" t="n">
        <v>5</v>
      </c>
      <c r="J23" t="n">
        <v>1</v>
      </c>
      <c r="K23" t="n">
        <v>0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1</v>
      </c>
      <c r="R23" t="n">
        <v>1</v>
      </c>
      <c r="S23" t="n">
        <v>1</v>
      </c>
      <c r="T23" t="n">
        <v>1</v>
      </c>
      <c r="U23" t="n">
        <v>0</v>
      </c>
      <c r="V23" s="2" t="inlineStr">
        <is>
          <t>Lappuggla</t>
        </is>
      </c>
      <c r="W23">
        <f>HYPERLINK("https://klasma.github.io/Logging_0682/artfynd/A 70820-2021 artfynd.xlsx", "A 70820-2021")</f>
        <v/>
      </c>
      <c r="X23">
        <f>HYPERLINK("https://klasma.github.io/Logging_0682/kartor/A 70820-2021 karta.png", "A 70820-2021")</f>
        <v/>
      </c>
      <c r="Y23">
        <f>HYPERLINK("https://klasma.github.io/Logging_0682/kartor_geotiff/A 70820-2021 georefererad karta.tif", "A 70820-2021")</f>
        <v/>
      </c>
      <c r="AA23">
        <f>HYPERLINK("https://klasma.github.io/Logging_0682/klagomål/A 70820-2021 FSC-klagomål.docx", "A 70820-2021")</f>
        <v/>
      </c>
      <c r="AB23">
        <f>HYPERLINK("https://klasma.github.io/Logging_0682/klagomålsmail/A 70820-2021 FSC-klagomål mail.docx", "A 70820-2021")</f>
        <v/>
      </c>
      <c r="AC23">
        <f>HYPERLINK("https://klasma.github.io/Logging_0682/tillsyn/A 70820-2021 tillsynsbegäran.docx", "A 70820-2021")</f>
        <v/>
      </c>
      <c r="AD23">
        <f>HYPERLINK("https://klasma.github.io/Logging_0682/tillsynsmail/A 70820-2021 tillsynsbegäran mail.docx", "A 70820-2021")</f>
        <v/>
      </c>
      <c r="AE23">
        <f>HYPERLINK("https://klasma.github.io/Logging_0682/fåglar/A 70820-2021 prioriterade fågelarter.docx", "A 70820-2021")</f>
        <v/>
      </c>
    </row>
    <row r="24" ht="15" customHeight="1">
      <c r="A24" t="inlineStr">
        <is>
          <t>A 48462-2024</t>
        </is>
      </c>
      <c r="B24" t="inlineStr">
        <is>
          <t>avverkningsanmälan</t>
        </is>
      </c>
      <c r="C24" t="inlineStr">
        <is>
          <t>Föryngringsavverkning</t>
        </is>
      </c>
      <c r="D24" s="1" t="n">
        <v>45590</v>
      </c>
      <c r="E24" s="1" t="n">
        <v>46322</v>
      </c>
      <c r="F24" t="inlineStr">
        <is>
          <t>JÖNKÖPINGS LÄN</t>
        </is>
      </c>
      <c r="G24" t="inlineStr">
        <is>
          <t>NÄSSJÖ</t>
        </is>
      </c>
      <c r="I24" t="n">
        <v>0.9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  <c r="T24" t="n">
        <v>1</v>
      </c>
      <c r="U24" t="n">
        <v>0</v>
      </c>
      <c r="V24" s="2" t="inlineStr">
        <is>
          <t>Kornig nållav</t>
        </is>
      </c>
      <c r="W24">
        <f>HYPERLINK("https://klasma.github.io/Logging_0682/artfynd/A 48462-2024 artfynd.xlsx", "A 48462-2024")</f>
        <v/>
      </c>
      <c r="X24">
        <f>HYPERLINK("https://klasma.github.io/Logging_0682/kartor/A 48462-2024 karta.png", "A 48462-2024")</f>
        <v/>
      </c>
      <c r="Y24">
        <f>HYPERLINK("https://klasma.github.io/Logging_0682/kartor_geotiff/A 48462-2024 georefererad karta.tif", "A 48462-2024")</f>
        <v/>
      </c>
      <c r="AA24">
        <f>HYPERLINK("https://klasma.github.io/Logging_0682/klagomål/A 48462-2024 FSC-klagomål.docx", "A 48462-2024")</f>
        <v/>
      </c>
      <c r="AB24">
        <f>HYPERLINK("https://klasma.github.io/Logging_0682/klagomålsmail/A 48462-2024 FSC-klagomål mail.docx", "A 48462-2024")</f>
        <v/>
      </c>
      <c r="AC24">
        <f>HYPERLINK("https://klasma.github.io/Logging_0682/tillsyn/A 48462-2024 tillsynsbegäran.docx", "A 48462-2024")</f>
        <v/>
      </c>
      <c r="AD24">
        <f>HYPERLINK("https://klasma.github.io/Logging_0682/tillsynsmail/A 48462-2024 tillsynsbegäran mail.docx", "A 48462-2024")</f>
        <v/>
      </c>
    </row>
    <row r="25" ht="15" customHeight="1">
      <c r="A25" t="inlineStr">
        <is>
          <t>A 17948-2024</t>
        </is>
      </c>
      <c r="B25" t="inlineStr">
        <is>
          <t>avverkningsanmälan</t>
        </is>
      </c>
      <c r="C25" t="inlineStr">
        <is>
          <t>Föryngringsavverkning</t>
        </is>
      </c>
      <c r="D25" s="1" t="n">
        <v>45419</v>
      </c>
      <c r="E25" s="1" t="n">
        <v>46322</v>
      </c>
      <c r="F25" t="inlineStr">
        <is>
          <t>JÖNKÖPINGS LÄN</t>
        </is>
      </c>
      <c r="G25" t="inlineStr">
        <is>
          <t>NÄSSJÖ</t>
        </is>
      </c>
      <c r="I25" t="n">
        <v>1.4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</v>
      </c>
      <c r="T25" t="n">
        <v>1</v>
      </c>
      <c r="U25" t="n">
        <v>0</v>
      </c>
      <c r="V25" s="2" t="inlineStr">
        <is>
          <t>Mattlummer</t>
        </is>
      </c>
      <c r="W25">
        <f>HYPERLINK("https://klasma.github.io/Logging_0682/artfynd/A 17948-2024 artfynd.xlsx", "A 17948-2024")</f>
        <v/>
      </c>
      <c r="X25">
        <f>HYPERLINK("https://klasma.github.io/Logging_0682/kartor/A 17948-2024 karta.png", "A 17948-2024")</f>
        <v/>
      </c>
      <c r="Y25">
        <f>HYPERLINK("https://klasma.github.io/Logging_0682/kartor_geotiff/A 17948-2024 georefererad karta.tif", "A 17948-2024")</f>
        <v/>
      </c>
      <c r="AA25">
        <f>HYPERLINK("https://klasma.github.io/Logging_0682/klagomål/A 17948-2024 FSC-klagomål.docx", "A 17948-2024")</f>
        <v/>
      </c>
      <c r="AB25">
        <f>HYPERLINK("https://klasma.github.io/Logging_0682/klagomålsmail/A 17948-2024 FSC-klagomål mail.docx", "A 17948-2024")</f>
        <v/>
      </c>
      <c r="AC25">
        <f>HYPERLINK("https://klasma.github.io/Logging_0682/tillsyn/A 17948-2024 tillsynsbegäran.docx", "A 17948-2024")</f>
        <v/>
      </c>
      <c r="AD25">
        <f>HYPERLINK("https://klasma.github.io/Logging_0682/tillsynsmail/A 17948-2024 tillsynsbegäran mail.docx", "A 17948-2024")</f>
        <v/>
      </c>
    </row>
    <row r="26" ht="15" customHeight="1">
      <c r="A26" t="inlineStr">
        <is>
          <t>A 50120-2025</t>
        </is>
      </c>
      <c r="B26" t="inlineStr">
        <is>
          <t>avverkningsanmälan</t>
        </is>
      </c>
      <c r="C26" t="inlineStr">
        <is>
          <t>Föryngringsavverkning</t>
        </is>
      </c>
      <c r="D26" s="1" t="n">
        <v>45943</v>
      </c>
      <c r="E26" s="1" t="n">
        <v>46322</v>
      </c>
      <c r="F26" t="inlineStr">
        <is>
          <t>JÖNKÖPINGS LÄN</t>
        </is>
      </c>
      <c r="G26" t="inlineStr">
        <is>
          <t>NÄSSJÖ</t>
        </is>
      </c>
      <c r="I26" t="n">
        <v>0.9</v>
      </c>
      <c r="J26" t="n">
        <v>1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</v>
      </c>
      <c r="T26" t="n">
        <v>1</v>
      </c>
      <c r="U26" t="n">
        <v>0</v>
      </c>
      <c r="V26" s="2" t="inlineStr">
        <is>
          <t>Spindelblomster</t>
        </is>
      </c>
      <c r="W26">
        <f>HYPERLINK("https://klasma.github.io/Logging_0682/artfynd/A 50120-2025 artfynd.xlsx", "A 50120-2025")</f>
        <v/>
      </c>
      <c r="X26">
        <f>HYPERLINK("https://klasma.github.io/Logging_0682/kartor/A 50120-2025 karta.png", "A 50120-2025")</f>
        <v/>
      </c>
      <c r="Y26">
        <f>HYPERLINK("https://klasma.github.io/Logging_0682/kartor_geotiff/A 50120-2025 georefererad karta.tif", "A 50120-2025")</f>
        <v/>
      </c>
      <c r="AA26">
        <f>HYPERLINK("https://klasma.github.io/Logging_0682/klagomål/A 50120-2025 FSC-klagomål.docx", "A 50120-2025")</f>
        <v/>
      </c>
      <c r="AB26">
        <f>HYPERLINK("https://klasma.github.io/Logging_0682/klagomålsmail/A 50120-2025 FSC-klagomål mail.docx", "A 50120-2025")</f>
        <v/>
      </c>
      <c r="AC26">
        <f>HYPERLINK("https://klasma.github.io/Logging_0682/tillsyn/A 50120-2025 tillsynsbegäran.docx", "A 50120-2025")</f>
        <v/>
      </c>
      <c r="AD26">
        <f>HYPERLINK("https://klasma.github.io/Logging_0682/tillsynsmail/A 50120-2025 tillsynsbegäran mail.docx", "A 50120-2025")</f>
        <v/>
      </c>
    </row>
    <row r="27" ht="15" customHeight="1">
      <c r="A27" t="inlineStr">
        <is>
          <t>A 39717-2022</t>
        </is>
      </c>
      <c r="B27" t="inlineStr">
        <is>
          <t>avverkningsanmälan</t>
        </is>
      </c>
      <c r="C27" t="inlineStr">
        <is>
          <t>Föryngringsavverkning</t>
        </is>
      </c>
      <c r="D27" s="1" t="n">
        <v>44819</v>
      </c>
      <c r="E27" s="1" t="n">
        <v>46322</v>
      </c>
      <c r="F27" t="inlineStr">
        <is>
          <t>JÖNKÖPINGS LÄN</t>
        </is>
      </c>
      <c r="G27" t="inlineStr">
        <is>
          <t>NÄSSJÖ</t>
        </is>
      </c>
      <c r="I27" t="n">
        <v>1.4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0</v>
      </c>
      <c r="P27" t="n">
        <v>0</v>
      </c>
      <c r="Q27" t="n">
        <v>1</v>
      </c>
      <c r="R27" t="n">
        <v>0</v>
      </c>
      <c r="S27" t="n">
        <v>1</v>
      </c>
      <c r="T27" t="n">
        <v>1</v>
      </c>
      <c r="U27" t="n">
        <v>1</v>
      </c>
      <c r="V27" s="2" t="inlineStr">
        <is>
          <t>Jungfrulin</t>
        </is>
      </c>
      <c r="W27">
        <f>HYPERLINK("https://klasma.github.io/Logging_0682/artfynd/A 39717-2022 artfynd.xlsx", "A 39717-2022")</f>
        <v/>
      </c>
      <c r="X27">
        <f>HYPERLINK("https://klasma.github.io/Logging_0682/kartor/A 39717-2022 karta.png", "A 39717-2022")</f>
        <v/>
      </c>
      <c r="Y27">
        <f>HYPERLINK("https://klasma.github.io/Logging_0682/kartor_geotiff/A 39717-2022 georefererad karta.tif", "A 39717-2022")</f>
        <v/>
      </c>
      <c r="AA27">
        <f>HYPERLINK("https://klasma.github.io/Logging_0682/klagomål/A 39717-2022 FSC-klagomål.docx", "A 39717-2022")</f>
        <v/>
      </c>
      <c r="AB27">
        <f>HYPERLINK("https://klasma.github.io/Logging_0682/klagomålsmail/A 39717-2022 FSC-klagomål mail.docx", "A 39717-2022")</f>
        <v/>
      </c>
      <c r="AC27">
        <f>HYPERLINK("https://klasma.github.io/Logging_0682/tillsyn/A 39717-2022 tillsynsbegäran.docx", "A 39717-2022")</f>
        <v/>
      </c>
      <c r="AD27">
        <f>HYPERLINK("https://klasma.github.io/Logging_0682/tillsynsmail/A 39717-2022 tillsynsbegäran mail.docx", "A 39717-2022")</f>
        <v/>
      </c>
    </row>
    <row r="28" ht="15" customHeight="1">
      <c r="A28" t="inlineStr">
        <is>
          <t>A 34909-2024</t>
        </is>
      </c>
      <c r="B28" t="inlineStr">
        <is>
          <t>avverkningsanmälan</t>
        </is>
      </c>
      <c r="C28" t="inlineStr">
        <is>
          <t>Föryngringsavverkning</t>
        </is>
      </c>
      <c r="D28" s="1" t="n">
        <v>45527</v>
      </c>
      <c r="E28" s="1" t="n">
        <v>46322</v>
      </c>
      <c r="F28" t="inlineStr">
        <is>
          <t>JÖNKÖPINGS LÄN</t>
        </is>
      </c>
      <c r="G28" t="inlineStr">
        <is>
          <t>NÄSSJÖ</t>
        </is>
      </c>
      <c r="I28" t="n">
        <v>5.8</v>
      </c>
      <c r="J28" t="n">
        <v>0</v>
      </c>
      <c r="K28" t="n">
        <v>0</v>
      </c>
      <c r="L28" t="n">
        <v>0</v>
      </c>
      <c r="M28" t="n">
        <v>0</v>
      </c>
      <c r="N28" t="n">
        <v>1</v>
      </c>
      <c r="O28" t="n">
        <v>0</v>
      </c>
      <c r="P28" t="n">
        <v>0</v>
      </c>
      <c r="Q28" t="n">
        <v>1</v>
      </c>
      <c r="R28" t="n">
        <v>1</v>
      </c>
      <c r="S28" t="n">
        <v>1</v>
      </c>
      <c r="T28" t="n">
        <v>2</v>
      </c>
      <c r="U28" t="n">
        <v>0</v>
      </c>
      <c r="V28" s="2" t="inlineStr">
        <is>
          <t>Ask</t>
        </is>
      </c>
      <c r="W28">
        <f>HYPERLINK("https://klasma.github.io/Logging_0682/artfynd/A 34909-2024 artfynd.xlsx", "A 34909-2024")</f>
        <v/>
      </c>
      <c r="X28">
        <f>HYPERLINK("https://klasma.github.io/Logging_0682/kartor/A 34909-2024 karta.png", "A 34909-2024")</f>
        <v/>
      </c>
      <c r="Y28">
        <f>HYPERLINK("https://klasma.github.io/Logging_0682/kartor_geotiff/A 34909-2024 georefererad karta.tif", "A 34909-2024")</f>
        <v/>
      </c>
      <c r="AA28">
        <f>HYPERLINK("https://klasma.github.io/Logging_0682/klagomål/A 34909-2024 FSC-klagomål.docx", "A 34909-2024")</f>
        <v/>
      </c>
      <c r="AB28">
        <f>HYPERLINK("https://klasma.github.io/Logging_0682/klagomålsmail/A 34909-2024 FSC-klagomål mail.docx", "A 34909-2024")</f>
        <v/>
      </c>
      <c r="AC28">
        <f>HYPERLINK("https://klasma.github.io/Logging_0682/tillsyn/A 34909-2024 tillsynsbegäran.docx", "A 34909-2024")</f>
        <v/>
      </c>
      <c r="AD28">
        <f>HYPERLINK("https://klasma.github.io/Logging_0682/tillsynsmail/A 34909-2024 tillsynsbegäran mail.docx", "A 34909-2024")</f>
        <v/>
      </c>
    </row>
    <row r="29" ht="15" customHeight="1">
      <c r="A29" t="inlineStr">
        <is>
          <t>A 250-2023</t>
        </is>
      </c>
      <c r="B29" t="inlineStr">
        <is>
          <t>avverkningsanmälan</t>
        </is>
      </c>
      <c r="C29" t="inlineStr">
        <is>
          <t>Föryngringsavverkning</t>
        </is>
      </c>
      <c r="D29" s="1" t="n">
        <v>44928</v>
      </c>
      <c r="E29" s="1" t="n">
        <v>46322</v>
      </c>
      <c r="F29" t="inlineStr">
        <is>
          <t>JÖNKÖPINGS LÄN</t>
        </is>
      </c>
      <c r="G29" t="inlineStr">
        <is>
          <t>NÄSSJÖ</t>
        </is>
      </c>
      <c r="I29" t="n">
        <v>9.1</v>
      </c>
      <c r="J29" t="n">
        <v>1</v>
      </c>
      <c r="K29" t="n">
        <v>0</v>
      </c>
      <c r="L29" t="n">
        <v>1</v>
      </c>
      <c r="M29" t="n">
        <v>0</v>
      </c>
      <c r="N29" t="n">
        <v>0</v>
      </c>
      <c r="O29" t="n">
        <v>0</v>
      </c>
      <c r="P29" t="n">
        <v>0</v>
      </c>
      <c r="Q29" t="n">
        <v>1</v>
      </c>
      <c r="R29" t="n">
        <v>0</v>
      </c>
      <c r="S29" t="n">
        <v>1</v>
      </c>
      <c r="T29" t="n">
        <v>2</v>
      </c>
      <c r="U29" t="n">
        <v>0</v>
      </c>
      <c r="V29" s="2" t="inlineStr">
        <is>
          <t>Kungsfiskare</t>
        </is>
      </c>
      <c r="W29">
        <f>HYPERLINK("https://klasma.github.io/Logging_0682/artfynd/A 250-2023 artfynd.xlsx", "A 250-2023")</f>
        <v/>
      </c>
      <c r="X29">
        <f>HYPERLINK("https://klasma.github.io/Logging_0682/kartor/A 250-2023 karta.png", "A 250-2023")</f>
        <v/>
      </c>
      <c r="Y29">
        <f>HYPERLINK("https://klasma.github.io/Logging_0682/kartor_geotiff/A 250-2023 georefererad karta.tif", "A 250-2023")</f>
        <v/>
      </c>
      <c r="AA29">
        <f>HYPERLINK("https://klasma.github.io/Logging_0682/klagomål/A 250-2023 FSC-klagomål.docx", "A 250-2023")</f>
        <v/>
      </c>
      <c r="AB29">
        <f>HYPERLINK("https://klasma.github.io/Logging_0682/klagomålsmail/A 250-2023 FSC-klagomål mail.docx", "A 250-2023")</f>
        <v/>
      </c>
      <c r="AC29">
        <f>HYPERLINK("https://klasma.github.io/Logging_0682/tillsyn/A 250-2023 tillsynsbegäran.docx", "A 250-2023")</f>
        <v/>
      </c>
      <c r="AD29">
        <f>HYPERLINK("https://klasma.github.io/Logging_0682/tillsynsmail/A 250-2023 tillsynsbegäran mail.docx", "A 250-2023")</f>
        <v/>
      </c>
    </row>
    <row r="30" ht="15" customHeight="1">
      <c r="A30" t="inlineStr">
        <is>
          <t>A 254-2023</t>
        </is>
      </c>
      <c r="B30" t="inlineStr">
        <is>
          <t>avverkningsanmälan</t>
        </is>
      </c>
      <c r="C30" t="inlineStr">
        <is>
          <t>Föryngringsavverkning</t>
        </is>
      </c>
      <c r="D30" s="1" t="n">
        <v>44928</v>
      </c>
      <c r="E30" s="1" t="n">
        <v>46322</v>
      </c>
      <c r="F30" t="inlineStr">
        <is>
          <t>JÖNKÖPINGS LÄN</t>
        </is>
      </c>
      <c r="G30" t="inlineStr">
        <is>
          <t>NÄSSJÖ</t>
        </is>
      </c>
      <c r="I30" t="n">
        <v>7.7</v>
      </c>
      <c r="J30" t="n">
        <v>1</v>
      </c>
      <c r="K30" t="n">
        <v>0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1</v>
      </c>
      <c r="T30" t="n">
        <v>1</v>
      </c>
      <c r="U30" t="n">
        <v>0</v>
      </c>
      <c r="V30" s="2" t="inlineStr">
        <is>
          <t>Gulsparv</t>
        </is>
      </c>
      <c r="W30">
        <f>HYPERLINK("https://klasma.github.io/Logging_0682/artfynd/A 254-2023 artfynd.xlsx", "A 254-2023")</f>
        <v/>
      </c>
      <c r="X30">
        <f>HYPERLINK("https://klasma.github.io/Logging_0682/kartor/A 254-2023 karta.png", "A 254-2023")</f>
        <v/>
      </c>
      <c r="Y30">
        <f>HYPERLINK("https://klasma.github.io/Logging_0682/kartor_geotiff/A 254-2023 georefererad karta.tif", "A 254-2023")</f>
        <v/>
      </c>
      <c r="AA30">
        <f>HYPERLINK("https://klasma.github.io/Logging_0682/klagomål/A 254-2023 FSC-klagomål.docx", "A 254-2023")</f>
        <v/>
      </c>
      <c r="AB30">
        <f>HYPERLINK("https://klasma.github.io/Logging_0682/klagomålsmail/A 254-2023 FSC-klagomål mail.docx", "A 254-2023")</f>
        <v/>
      </c>
      <c r="AC30">
        <f>HYPERLINK("https://klasma.github.io/Logging_0682/tillsyn/A 254-2023 tillsynsbegäran.docx", "A 254-2023")</f>
        <v/>
      </c>
      <c r="AD30">
        <f>HYPERLINK("https://klasma.github.io/Logging_0682/tillsynsmail/A 254-2023 tillsynsbegäran mail.docx", "A 254-2023")</f>
        <v/>
      </c>
      <c r="AE30">
        <f>HYPERLINK("https://klasma.github.io/Logging_0682/fåglar/A 254-2023 prioriterade fågelarter.docx", "A 254-2023")</f>
        <v/>
      </c>
    </row>
    <row r="31" ht="15" customHeight="1">
      <c r="A31" t="inlineStr">
        <is>
          <t>A 27215-2023</t>
        </is>
      </c>
      <c r="B31" t="inlineStr">
        <is>
          <t>avverkningsanmälan</t>
        </is>
      </c>
      <c r="C31" t="inlineStr">
        <is>
          <t>Föryngringsavverkning</t>
        </is>
      </c>
      <c r="D31" s="1" t="n">
        <v>45096</v>
      </c>
      <c r="E31" s="1" t="n">
        <v>46322</v>
      </c>
      <c r="F31" t="inlineStr">
        <is>
          <t>JÖNKÖPINGS LÄN</t>
        </is>
      </c>
      <c r="G31" t="inlineStr">
        <is>
          <t>NÄSSJÖ</t>
        </is>
      </c>
      <c r="I31" t="n">
        <v>13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</v>
      </c>
      <c r="T31" t="n">
        <v>1</v>
      </c>
      <c r="U31" t="n">
        <v>1</v>
      </c>
      <c r="V31" s="2" t="inlineStr">
        <is>
          <t>Tjäder</t>
        </is>
      </c>
      <c r="W31">
        <f>HYPERLINK("https://klasma.github.io/Logging_0682/artfynd/A 27215-2023 artfynd.xlsx", "A 27215-2023")</f>
        <v/>
      </c>
      <c r="X31">
        <f>HYPERLINK("https://klasma.github.io/Logging_0682/kartor/A 27215-2023 karta.png", "A 27215-2023")</f>
        <v/>
      </c>
      <c r="Y31">
        <f>HYPERLINK("https://klasma.github.io/Logging_0682/kartor_geotiff/A 27215-2023 georefererad karta.tif", "A 27215-2023")</f>
        <v/>
      </c>
      <c r="AA31">
        <f>HYPERLINK("https://klasma.github.io/Logging_0682/klagomål/A 27215-2023 FSC-klagomål.docx", "A 27215-2023")</f>
        <v/>
      </c>
      <c r="AB31">
        <f>HYPERLINK("https://klasma.github.io/Logging_0682/klagomålsmail/A 27215-2023 FSC-klagomål mail.docx", "A 27215-2023")</f>
        <v/>
      </c>
      <c r="AC31">
        <f>HYPERLINK("https://klasma.github.io/Logging_0682/tillsyn/A 27215-2023 tillsynsbegäran.docx", "A 27215-2023")</f>
        <v/>
      </c>
      <c r="AD31">
        <f>HYPERLINK("https://klasma.github.io/Logging_0682/tillsynsmail/A 27215-2023 tillsynsbegäran mail.docx", "A 27215-2023")</f>
        <v/>
      </c>
      <c r="AE31">
        <f>HYPERLINK("https://klasma.github.io/Logging_0682/fåglar/A 27215-2023 prioriterade fågelarter.docx", "A 27215-2023")</f>
        <v/>
      </c>
    </row>
    <row r="32" ht="15" customHeight="1">
      <c r="A32" t="inlineStr">
        <is>
          <t>A 63989-2025</t>
        </is>
      </c>
      <c r="B32" t="inlineStr">
        <is>
          <t>avverkningsanmälan</t>
        </is>
      </c>
      <c r="C32" t="inlineStr">
        <is>
          <t>Föryngringsavverkning</t>
        </is>
      </c>
      <c r="D32" s="1" t="n">
        <v>46021</v>
      </c>
      <c r="E32" s="1" t="n">
        <v>46322</v>
      </c>
      <c r="F32" t="inlineStr">
        <is>
          <t>JÖNKÖPINGS LÄN</t>
        </is>
      </c>
      <c r="G32" t="inlineStr">
        <is>
          <t>NÄSSJÖ</t>
        </is>
      </c>
      <c r="I32" t="n">
        <v>2.7</v>
      </c>
      <c r="J32" t="n">
        <v>0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n">
        <v>1</v>
      </c>
      <c r="R32" t="n">
        <v>1</v>
      </c>
      <c r="S32" t="n">
        <v>1</v>
      </c>
      <c r="T32" t="n">
        <v>1</v>
      </c>
      <c r="U32" t="n">
        <v>0</v>
      </c>
      <c r="V32" s="2" t="inlineStr">
        <is>
          <t>Fältgentiana</t>
        </is>
      </c>
      <c r="W32">
        <f>HYPERLINK("https://klasma.github.io/Logging_0682/artfynd/A 63989-2025 artfynd.xlsx", "A 63989-2025")</f>
        <v/>
      </c>
      <c r="X32">
        <f>HYPERLINK("https://klasma.github.io/Logging_0682/kartor/A 63989-2025 karta.png", "A 63989-2025")</f>
        <v/>
      </c>
      <c r="Y32">
        <f>HYPERLINK("https://klasma.github.io/Logging_0682/kartor_geotiff/A 63989-2025 georefererad karta.tif", "A 63989-2025")</f>
        <v/>
      </c>
      <c r="AA32">
        <f>HYPERLINK("https://klasma.github.io/Logging_0682/klagomål/A 63989-2025 FSC-klagomål.docx", "A 63989-2025")</f>
        <v/>
      </c>
      <c r="AB32">
        <f>HYPERLINK("https://klasma.github.io/Logging_0682/klagomålsmail/A 63989-2025 FSC-klagomål mail.docx", "A 63989-2025")</f>
        <v/>
      </c>
      <c r="AC32">
        <f>HYPERLINK("https://klasma.github.io/Logging_0682/tillsyn/A 63989-2025 tillsynsbegäran.docx", "A 63989-2025")</f>
        <v/>
      </c>
      <c r="AD32">
        <f>HYPERLINK("https://klasma.github.io/Logging_0682/tillsynsmail/A 63989-2025 tillsynsbegäran mail.docx", "A 63989-2025")</f>
        <v/>
      </c>
    </row>
    <row r="33" ht="15" customHeight="1">
      <c r="A33" t="inlineStr">
        <is>
          <t>A 33414-2025</t>
        </is>
      </c>
      <c r="B33" t="inlineStr">
        <is>
          <t>avverkningsanmälan</t>
        </is>
      </c>
      <c r="C33" t="inlineStr">
        <is>
          <t>Föryngringsavverkning</t>
        </is>
      </c>
      <c r="D33" s="1" t="n">
        <v>45841</v>
      </c>
      <c r="E33" s="1" t="n">
        <v>46322</v>
      </c>
      <c r="F33" t="inlineStr">
        <is>
          <t>JÖNKÖPINGS LÄN</t>
        </is>
      </c>
      <c r="G33" t="inlineStr">
        <is>
          <t>NÄSSJÖ</t>
        </is>
      </c>
      <c r="I33" t="n">
        <v>0.5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1</v>
      </c>
      <c r="T33" t="n">
        <v>1</v>
      </c>
      <c r="U33" t="n">
        <v>0</v>
      </c>
      <c r="V33" s="2" t="inlineStr">
        <is>
          <t>Rhithrogena germanica</t>
        </is>
      </c>
      <c r="W33">
        <f>HYPERLINK("https://klasma.github.io/Logging_0682/artfynd/A 33414-2025 artfynd.xlsx", "A 33414-2025")</f>
        <v/>
      </c>
      <c r="X33">
        <f>HYPERLINK("https://klasma.github.io/Logging_0682/kartor/A 33414-2025 karta.png", "A 33414-2025")</f>
        <v/>
      </c>
      <c r="Y33">
        <f>HYPERLINK("https://klasma.github.io/Logging_0682/kartor_geotiff/A 33414-2025 georefererad karta.tif", "A 33414-2025")</f>
        <v/>
      </c>
      <c r="AA33">
        <f>HYPERLINK("https://klasma.github.io/Logging_0682/klagomål/A 33414-2025 FSC-klagomål.docx", "A 33414-2025")</f>
        <v/>
      </c>
      <c r="AB33">
        <f>HYPERLINK("https://klasma.github.io/Logging_0682/klagomålsmail/A 33414-2025 FSC-klagomål mail.docx", "A 33414-2025")</f>
        <v/>
      </c>
      <c r="AC33">
        <f>HYPERLINK("https://klasma.github.io/Logging_0682/tillsyn/A 33414-2025 tillsynsbegäran.docx", "A 33414-2025")</f>
        <v/>
      </c>
      <c r="AD33">
        <f>HYPERLINK("https://klasma.github.io/Logging_0682/tillsynsmail/A 33414-2025 tillsynsbegäran mail.docx", "A 33414-2025")</f>
        <v/>
      </c>
    </row>
    <row r="34" ht="15" customHeight="1">
      <c r="A34" t="inlineStr">
        <is>
          <t>A 33373-2025</t>
        </is>
      </c>
      <c r="B34" t="inlineStr">
        <is>
          <t>avverkningsanmälan</t>
        </is>
      </c>
      <c r="C34" t="inlineStr">
        <is>
          <t>Föryngringsavverkning</t>
        </is>
      </c>
      <c r="D34" s="1" t="n">
        <v>45841</v>
      </c>
      <c r="E34" s="1" t="n">
        <v>46322</v>
      </c>
      <c r="F34" t="inlineStr">
        <is>
          <t>JÖNKÖPINGS LÄN</t>
        </is>
      </c>
      <c r="G34" t="inlineStr">
        <is>
          <t>NÄSSJÖ</t>
        </is>
      </c>
      <c r="I34" t="n">
        <v>0.4</v>
      </c>
      <c r="J34" t="n">
        <v>0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</v>
      </c>
      <c r="T34" t="n">
        <v>1</v>
      </c>
      <c r="U34" t="n">
        <v>1</v>
      </c>
      <c r="V34" s="2" t="inlineStr">
        <is>
          <t>Ögonpyrola</t>
        </is>
      </c>
      <c r="W34">
        <f>HYPERLINK("https://klasma.github.io/Logging_0682/artfynd/A 33373-2025 artfynd.xlsx", "A 33373-2025")</f>
        <v/>
      </c>
      <c r="X34">
        <f>HYPERLINK("https://klasma.github.io/Logging_0682/kartor/A 33373-2025 karta.png", "A 33373-2025")</f>
        <v/>
      </c>
      <c r="Y34">
        <f>HYPERLINK("https://klasma.github.io/Logging_0682/kartor_geotiff/A 33373-2025 georefererad karta.tif", "A 33373-2025")</f>
        <v/>
      </c>
      <c r="AA34">
        <f>HYPERLINK("https://klasma.github.io/Logging_0682/klagomål/A 33373-2025 FSC-klagomål.docx", "A 33373-2025")</f>
        <v/>
      </c>
      <c r="AB34">
        <f>HYPERLINK("https://klasma.github.io/Logging_0682/klagomålsmail/A 33373-2025 FSC-klagomål mail.docx", "A 33373-2025")</f>
        <v/>
      </c>
      <c r="AC34">
        <f>HYPERLINK("https://klasma.github.io/Logging_0682/tillsyn/A 33373-2025 tillsynsbegäran.docx", "A 33373-2025")</f>
        <v/>
      </c>
      <c r="AD34">
        <f>HYPERLINK("https://klasma.github.io/Logging_0682/tillsynsmail/A 33373-2025 tillsynsbegäran mail.docx", "A 33373-2025")</f>
        <v/>
      </c>
    </row>
    <row r="35" ht="15" customHeight="1">
      <c r="A35" t="inlineStr">
        <is>
          <t>A 5108-2026</t>
        </is>
      </c>
      <c r="B35" t="inlineStr">
        <is>
          <t>avverkningsanmälan</t>
        </is>
      </c>
      <c r="C35" t="inlineStr">
        <is>
          <t>Föryngringsavverkning</t>
        </is>
      </c>
      <c r="D35" s="1" t="n">
        <v>46049</v>
      </c>
      <c r="E35" s="1" t="n">
        <v>46322</v>
      </c>
      <c r="F35" t="inlineStr">
        <is>
          <t>JÖNKÖPINGS LÄN</t>
        </is>
      </c>
      <c r="G35" t="inlineStr">
        <is>
          <t>NÄSSJÖ</t>
        </is>
      </c>
      <c r="I35" t="n">
        <v>3.2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</v>
      </c>
      <c r="T35" t="n">
        <v>1</v>
      </c>
      <c r="U35" t="n">
        <v>0</v>
      </c>
      <c r="V35" s="2" t="inlineStr">
        <is>
          <t>Mindre vattensalamander</t>
        </is>
      </c>
      <c r="W35">
        <f>HYPERLINK("https://klasma.github.io/Logging_0682/artfynd/A 5108-2026 artfynd.xlsx", "A 5108-2026")</f>
        <v/>
      </c>
      <c r="X35">
        <f>HYPERLINK("https://klasma.github.io/Logging_0682/kartor/A 5108-2026 karta.png", "A 5108-2026")</f>
        <v/>
      </c>
      <c r="Y35">
        <f>HYPERLINK("https://klasma.github.io/Logging_0682/kartor_geotiff/A 5108-2026 georefererad karta.tif", "A 5108-2026")</f>
        <v/>
      </c>
      <c r="AA35">
        <f>HYPERLINK("https://klasma.github.io/Logging_0682/klagomål/A 5108-2026 FSC-klagomål.docx", "A 5108-2026")</f>
        <v/>
      </c>
      <c r="AB35">
        <f>HYPERLINK("https://klasma.github.io/Logging_0682/klagomålsmail/A 5108-2026 FSC-klagomål mail.docx", "A 5108-2026")</f>
        <v/>
      </c>
      <c r="AC35">
        <f>HYPERLINK("https://klasma.github.io/Logging_0682/tillsyn/A 5108-2026 tillsynsbegäran.docx", "A 5108-2026")</f>
        <v/>
      </c>
      <c r="AD35">
        <f>HYPERLINK("https://klasma.github.io/Logging_0682/tillsynsmail/A 5108-2026 tillsynsbegäran mail.docx", "A 5108-2026")</f>
        <v/>
      </c>
    </row>
    <row r="36" ht="15" customHeight="1">
      <c r="A36" t="inlineStr">
        <is>
          <t>A 4720-2026</t>
        </is>
      </c>
      <c r="B36" t="inlineStr">
        <is>
          <t>avverkningsanmälan</t>
        </is>
      </c>
      <c r="C36" t="inlineStr">
        <is>
          <t>Föryngringsavverkning</t>
        </is>
      </c>
      <c r="D36" s="1" t="n">
        <v>46048</v>
      </c>
      <c r="E36" s="1" t="n">
        <v>46322</v>
      </c>
      <c r="F36" t="inlineStr">
        <is>
          <t>JÖNKÖPINGS LÄN</t>
        </is>
      </c>
      <c r="G36" t="inlineStr">
        <is>
          <t>NÄSSJÖ</t>
        </is>
      </c>
      <c r="I36" t="n">
        <v>0.5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1</v>
      </c>
      <c r="U36" t="n">
        <v>0</v>
      </c>
      <c r="V36" s="2" t="inlineStr">
        <is>
          <t>Grönpyrola</t>
        </is>
      </c>
      <c r="W36">
        <f>HYPERLINK("https://klasma.github.io/Logging_0682/artfynd/A 4720-2026 artfynd.xlsx", "A 4720-2026")</f>
        <v/>
      </c>
      <c r="X36">
        <f>HYPERLINK("https://klasma.github.io/Logging_0682/kartor/A 4720-2026 karta.png", "A 4720-2026")</f>
        <v/>
      </c>
      <c r="Y36">
        <f>HYPERLINK("https://klasma.github.io/Logging_0682/kartor_geotiff/A 4720-2026 georefererad karta.tif", "A 4720-2026")</f>
        <v/>
      </c>
      <c r="AA36">
        <f>HYPERLINK("https://klasma.github.io/Logging_0682/klagomål/A 4720-2026 FSC-klagomål.docx", "A 4720-2026")</f>
        <v/>
      </c>
      <c r="AB36">
        <f>HYPERLINK("https://klasma.github.io/Logging_0682/klagomålsmail/A 4720-2026 FSC-klagomål mail.docx", "A 4720-2026")</f>
        <v/>
      </c>
      <c r="AC36">
        <f>HYPERLINK("https://klasma.github.io/Logging_0682/tillsyn/A 4720-2026 tillsynsbegäran.docx", "A 4720-2026")</f>
        <v/>
      </c>
      <c r="AD36">
        <f>HYPERLINK("https://klasma.github.io/Logging_0682/tillsynsmail/A 4720-2026 tillsynsbegäran mail.docx", "A 4720-2026")</f>
        <v/>
      </c>
    </row>
    <row r="37" ht="15" customHeight="1">
      <c r="A37" t="inlineStr">
        <is>
          <t>A 3693-2022</t>
        </is>
      </c>
      <c r="B37" t="inlineStr">
        <is>
          <t>avverkningsanmälan</t>
        </is>
      </c>
      <c r="C37" t="inlineStr">
        <is>
          <t>Föryngringsavverkning</t>
        </is>
      </c>
      <c r="D37" s="1" t="n">
        <v>44586</v>
      </c>
      <c r="E37" s="1" t="n">
        <v>46322</v>
      </c>
      <c r="F37" t="inlineStr">
        <is>
          <t>JÖNKÖPINGS LÄN</t>
        </is>
      </c>
      <c r="G37" t="inlineStr">
        <is>
          <t>NÄSSJÖ</t>
        </is>
      </c>
      <c r="I37" t="n">
        <v>2.9</v>
      </c>
      <c r="J37" t="n">
        <v>1</v>
      </c>
      <c r="K37" t="n">
        <v>0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1</v>
      </c>
      <c r="T37" t="n">
        <v>1</v>
      </c>
      <c r="U37" t="n">
        <v>1</v>
      </c>
      <c r="V37" s="2" t="inlineStr">
        <is>
          <t>Järnsparv</t>
        </is>
      </c>
      <c r="W37">
        <f>HYPERLINK("https://klasma.github.io/Logging_0682/artfynd/A 3693-2022 artfynd.xlsx", "A 3693-2022")</f>
        <v/>
      </c>
      <c r="X37">
        <f>HYPERLINK("https://klasma.github.io/Logging_0682/kartor/A 3693-2022 karta.png", "A 3693-2022")</f>
        <v/>
      </c>
      <c r="Y37">
        <f>HYPERLINK("https://klasma.github.io/Logging_0682/kartor_geotiff/A 3693-2022 georefererad karta.tif", "A 3693-2022")</f>
        <v/>
      </c>
      <c r="AA37">
        <f>HYPERLINK("https://klasma.github.io/Logging_0682/klagomål/A 3693-2022 FSC-klagomål.docx", "A 3693-2022")</f>
        <v/>
      </c>
      <c r="AB37">
        <f>HYPERLINK("https://klasma.github.io/Logging_0682/klagomålsmail/A 3693-2022 FSC-klagomål mail.docx", "A 3693-2022")</f>
        <v/>
      </c>
      <c r="AC37">
        <f>HYPERLINK("https://klasma.github.io/Logging_0682/tillsyn/A 3693-2022 tillsynsbegäran.docx", "A 3693-2022")</f>
        <v/>
      </c>
      <c r="AD37">
        <f>HYPERLINK("https://klasma.github.io/Logging_0682/tillsynsmail/A 3693-2022 tillsynsbegäran mail.docx", "A 3693-2022")</f>
        <v/>
      </c>
      <c r="AE37">
        <f>HYPERLINK("https://klasma.github.io/Logging_0682/fåglar/A 3693-2022 prioriterade fågelarter.docx", "A 3693-2022")</f>
        <v/>
      </c>
    </row>
    <row r="38" ht="15" customHeight="1">
      <c r="A38" t="inlineStr">
        <is>
          <t>A 46451-2022</t>
        </is>
      </c>
      <c r="B38" t="inlineStr">
        <is>
          <t>avverkningsanmälan</t>
        </is>
      </c>
      <c r="C38" t="inlineStr">
        <is>
          <t>Föryngringsavverkning</t>
        </is>
      </c>
      <c r="D38" s="1" t="n">
        <v>44848</v>
      </c>
      <c r="E38" s="1" t="n">
        <v>46322</v>
      </c>
      <c r="F38" t="inlineStr">
        <is>
          <t>JÖNKÖPINGS LÄN</t>
        </is>
      </c>
      <c r="G38" t="inlineStr">
        <is>
          <t>NÄSSJÖ</t>
        </is>
      </c>
      <c r="I38" t="n">
        <v>2.6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</v>
      </c>
      <c r="U38" t="n">
        <v>1</v>
      </c>
      <c r="V38" s="2" t="inlineStr">
        <is>
          <t>Sälg</t>
        </is>
      </c>
      <c r="W38">
        <f>HYPERLINK("https://klasma.github.io/Logging_0682/artfynd/A 46451-2022 artfynd.xlsx", "A 46451-2022")</f>
        <v/>
      </c>
      <c r="X38">
        <f>HYPERLINK("https://klasma.github.io/Logging_0682/kartor/A 46451-2022 karta.png", "A 46451-2022")</f>
        <v/>
      </c>
      <c r="Y38">
        <f>HYPERLINK("https://klasma.github.io/Logging_0682/kartor_geotiff/A 46451-2022 georefererad karta.tif", "A 46451-2022")</f>
        <v/>
      </c>
      <c r="AA38">
        <f>HYPERLINK("https://klasma.github.io/Logging_0682/klagomål/A 46451-2022 FSC-klagomål.docx", "A 46451-2022")</f>
        <v/>
      </c>
      <c r="AB38">
        <f>HYPERLINK("https://klasma.github.io/Logging_0682/klagomålsmail/A 46451-2022 FSC-klagomål mail.docx", "A 46451-2022")</f>
        <v/>
      </c>
      <c r="AC38">
        <f>HYPERLINK("https://klasma.github.io/Logging_0682/tillsyn/A 46451-2022 tillsynsbegäran.docx", "A 46451-2022")</f>
        <v/>
      </c>
      <c r="AD38">
        <f>HYPERLINK("https://klasma.github.io/Logging_0682/tillsynsmail/A 46451-2022 tillsynsbegäran mail.docx", "A 46451-2022")</f>
        <v/>
      </c>
    </row>
    <row r="39" ht="15" customHeight="1">
      <c r="A39" t="inlineStr">
        <is>
          <t>A 15048-2026</t>
        </is>
      </c>
      <c r="B39" t="inlineStr">
        <is>
          <t>avverkningsanmälan</t>
        </is>
      </c>
      <c r="C39" t="inlineStr">
        <is>
          <t>Föryngringsavverkning</t>
        </is>
      </c>
      <c r="D39" s="1" t="n">
        <v>46104</v>
      </c>
      <c r="E39" s="1" t="n">
        <v>46322</v>
      </c>
      <c r="F39" t="inlineStr">
        <is>
          <t>JÖNKÖPINGS LÄN</t>
        </is>
      </c>
      <c r="G39" t="inlineStr">
        <is>
          <t>NÄSSJÖ</t>
        </is>
      </c>
      <c r="I39" t="n">
        <v>5.5</v>
      </c>
      <c r="J39" t="n">
        <v>0</v>
      </c>
      <c r="K39" t="n">
        <v>0</v>
      </c>
      <c r="L39" t="n">
        <v>0</v>
      </c>
      <c r="M39" t="n">
        <v>0</v>
      </c>
      <c r="N39" t="n">
        <v>1</v>
      </c>
      <c r="O39" t="n">
        <v>0</v>
      </c>
      <c r="P39" t="n">
        <v>0</v>
      </c>
      <c r="Q39" t="n">
        <v>1</v>
      </c>
      <c r="R39" t="n">
        <v>1</v>
      </c>
      <c r="S39" t="n">
        <v>1</v>
      </c>
      <c r="T39" t="n">
        <v>1</v>
      </c>
      <c r="U39" t="n">
        <v>0</v>
      </c>
      <c r="V39" s="2" t="inlineStr">
        <is>
          <t>Ask</t>
        </is>
      </c>
      <c r="W39">
        <f>HYPERLINK("https://klasma.github.io/Logging_0682/artfynd/A 15048-2026 artfynd.xlsx", "A 15048-2026")</f>
        <v/>
      </c>
      <c r="X39">
        <f>HYPERLINK("https://klasma.github.io/Logging_0682/kartor/A 15048-2026 karta.png", "A 15048-2026")</f>
        <v/>
      </c>
      <c r="Y39">
        <f>HYPERLINK("https://klasma.github.io/Logging_0682/kartor_geotiff/A 15048-2026 georefererad karta.tif", "A 15048-2026")</f>
        <v/>
      </c>
      <c r="AA39">
        <f>HYPERLINK("https://klasma.github.io/Logging_0682/klagomål/A 15048-2026 FSC-klagomål.docx", "A 15048-2026")</f>
        <v/>
      </c>
      <c r="AB39">
        <f>HYPERLINK("https://klasma.github.io/Logging_0682/klagomålsmail/A 15048-2026 FSC-klagomål mail.docx", "A 15048-2026")</f>
        <v/>
      </c>
      <c r="AC39">
        <f>HYPERLINK("https://klasma.github.io/Logging_0682/tillsyn/A 15048-2026 tillsynsbegäran.docx", "A 15048-2026")</f>
        <v/>
      </c>
      <c r="AD39">
        <f>HYPERLINK("https://klasma.github.io/Logging_0682/tillsynsmail/A 15048-2026 tillsynsbegäran mail.docx", "A 15048-2026")</f>
        <v/>
      </c>
    </row>
    <row r="40" ht="15" customHeight="1">
      <c r="A40" t="inlineStr">
        <is>
          <t>A 15845-2026</t>
        </is>
      </c>
      <c r="B40" t="inlineStr">
        <is>
          <t>avverkningsanmälan</t>
        </is>
      </c>
      <c r="C40" t="inlineStr">
        <is>
          <t>Föryngringsavverkning</t>
        </is>
      </c>
      <c r="D40" s="1" t="n">
        <v>46107</v>
      </c>
      <c r="E40" s="1" t="n">
        <v>46322</v>
      </c>
      <c r="F40" t="inlineStr">
        <is>
          <t>JÖNKÖPINGS LÄN</t>
        </is>
      </c>
      <c r="G40" t="inlineStr">
        <is>
          <t>NÄSSJÖ</t>
        </is>
      </c>
      <c r="I40" t="n">
        <v>1.4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1</v>
      </c>
      <c r="U40" t="n">
        <v>0</v>
      </c>
      <c r="V40" s="2" t="inlineStr">
        <is>
          <t>Tjäder</t>
        </is>
      </c>
      <c r="W40">
        <f>HYPERLINK("https://klasma.github.io/Logging_0682/artfynd/A 15845-2026 artfynd.xlsx", "A 15845-2026")</f>
        <v/>
      </c>
      <c r="X40">
        <f>HYPERLINK("https://klasma.github.io/Logging_0682/kartor/A 15845-2026 karta.png", "A 15845-2026")</f>
        <v/>
      </c>
      <c r="Y40">
        <f>HYPERLINK("https://klasma.github.io/Logging_0682/kartor_geotiff/A 15845-2026 georefererad karta.tif", "A 15845-2026")</f>
        <v/>
      </c>
      <c r="AA40">
        <f>HYPERLINK("https://klasma.github.io/Logging_0682/klagomål/A 15845-2026 FSC-klagomål.docx", "A 15845-2026")</f>
        <v/>
      </c>
      <c r="AB40">
        <f>HYPERLINK("https://klasma.github.io/Logging_0682/klagomålsmail/A 15845-2026 FSC-klagomål mail.docx", "A 15845-2026")</f>
        <v/>
      </c>
      <c r="AC40">
        <f>HYPERLINK("https://klasma.github.io/Logging_0682/tillsyn/A 15845-2026 tillsynsbegäran.docx", "A 15845-2026")</f>
        <v/>
      </c>
      <c r="AD40">
        <f>HYPERLINK("https://klasma.github.io/Logging_0682/tillsynsmail/A 15845-2026 tillsynsbegäran mail.docx", "A 15845-2026")</f>
        <v/>
      </c>
      <c r="AE40">
        <f>HYPERLINK("https://klasma.github.io/Logging_0682/fåglar/A 15845-2026 prioriterade fågelarter.docx", "A 15845-2026")</f>
        <v/>
      </c>
    </row>
    <row r="41" ht="15" customHeight="1">
      <c r="A41" t="inlineStr">
        <is>
          <t>A 60892-2024</t>
        </is>
      </c>
      <c r="B41" t="inlineStr">
        <is>
          <t>avverkningsanmälan</t>
        </is>
      </c>
      <c r="C41" t="inlineStr">
        <is>
          <t>Föryngringsavverkning</t>
        </is>
      </c>
      <c r="D41" s="1" t="n">
        <v>45645</v>
      </c>
      <c r="E41" s="1" t="n">
        <v>46322</v>
      </c>
      <c r="F41" t="inlineStr">
        <is>
          <t>JÖNKÖPINGS LÄN</t>
        </is>
      </c>
      <c r="G41" t="inlineStr">
        <is>
          <t>NÄSSJÖ</t>
        </is>
      </c>
      <c r="I41" t="n">
        <v>1.4</v>
      </c>
      <c r="J41" t="n">
        <v>0</v>
      </c>
      <c r="K41" t="n">
        <v>0</v>
      </c>
      <c r="L41" t="n">
        <v>0</v>
      </c>
      <c r="M41" t="n">
        <v>0</v>
      </c>
      <c r="N41" t="n">
        <v>1</v>
      </c>
      <c r="O41" t="n">
        <v>0</v>
      </c>
      <c r="P41" t="n">
        <v>0</v>
      </c>
      <c r="Q41" t="n">
        <v>1</v>
      </c>
      <c r="R41" t="n">
        <v>1</v>
      </c>
      <c r="S41" t="n">
        <v>1</v>
      </c>
      <c r="T41" t="n">
        <v>1</v>
      </c>
      <c r="U41" t="n">
        <v>0</v>
      </c>
      <c r="V41" s="2" t="inlineStr">
        <is>
          <t>Ask</t>
        </is>
      </c>
      <c r="W41">
        <f>HYPERLINK("https://klasma.github.io/Logging_0682/artfynd/A 60892-2024 artfynd.xlsx", "A 60892-2024")</f>
        <v/>
      </c>
      <c r="X41">
        <f>HYPERLINK("https://klasma.github.io/Logging_0682/kartor/A 60892-2024 karta.png", "A 60892-2024")</f>
        <v/>
      </c>
      <c r="Y41">
        <f>HYPERLINK("https://klasma.github.io/Logging_0682/kartor_geotiff/A 60892-2024 georefererad karta.tif", "A 60892-2024")</f>
        <v/>
      </c>
      <c r="AA41">
        <f>HYPERLINK("https://klasma.github.io/Logging_0682/klagomål/A 60892-2024 FSC-klagomål.docx", "A 60892-2024")</f>
        <v/>
      </c>
      <c r="AB41">
        <f>HYPERLINK("https://klasma.github.io/Logging_0682/klagomålsmail/A 60892-2024 FSC-klagomål mail.docx", "A 60892-2024")</f>
        <v/>
      </c>
      <c r="AC41">
        <f>HYPERLINK("https://klasma.github.io/Logging_0682/tillsyn/A 60892-2024 tillsynsbegäran.docx", "A 60892-2024")</f>
        <v/>
      </c>
      <c r="AD41">
        <f>HYPERLINK("https://klasma.github.io/Logging_0682/tillsynsmail/A 60892-2024 tillsynsbegäran mail.docx", "A 60892-2024")</f>
        <v/>
      </c>
    </row>
    <row r="42" ht="15" customHeight="1">
      <c r="A42" t="inlineStr">
        <is>
          <t>A 41327-2025</t>
        </is>
      </c>
      <c r="B42" t="inlineStr">
        <is>
          <t>avverkningsanmälan</t>
        </is>
      </c>
      <c r="C42" t="inlineStr">
        <is>
          <t>Föryngringsavverkning</t>
        </is>
      </c>
      <c r="D42" s="1" t="n">
        <v>45899</v>
      </c>
      <c r="E42" s="1" t="n">
        <v>46322</v>
      </c>
      <c r="F42" t="inlineStr">
        <is>
          <t>JÖNKÖPINGS LÄN</t>
        </is>
      </c>
      <c r="G42" t="inlineStr">
        <is>
          <t>NÄSSJÖ</t>
        </is>
      </c>
      <c r="I42" t="n">
        <v>5.6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1</v>
      </c>
      <c r="U42" t="n">
        <v>0</v>
      </c>
      <c r="V42" s="2" t="inlineStr">
        <is>
          <t>Tjäder</t>
        </is>
      </c>
      <c r="W42">
        <f>HYPERLINK("https://klasma.github.io/Logging_0682/artfynd/A 41327-2025 artfynd.xlsx", "A 41327-2025")</f>
        <v/>
      </c>
      <c r="X42">
        <f>HYPERLINK("https://klasma.github.io/Logging_0682/kartor/A 41327-2025 karta.png", "A 41327-2025")</f>
        <v/>
      </c>
      <c r="Y42">
        <f>HYPERLINK("https://klasma.github.io/Logging_0682/kartor_geotiff/A 41327-2025 georefererad karta.tif", "A 41327-2025")</f>
        <v/>
      </c>
      <c r="AA42">
        <f>HYPERLINK("https://klasma.github.io/Logging_0682/klagomål/A 41327-2025 FSC-klagomål.docx", "A 41327-2025")</f>
        <v/>
      </c>
      <c r="AB42">
        <f>HYPERLINK("https://klasma.github.io/Logging_0682/klagomålsmail/A 41327-2025 FSC-klagomål mail.docx", "A 41327-2025")</f>
        <v/>
      </c>
      <c r="AC42">
        <f>HYPERLINK("https://klasma.github.io/Logging_0682/tillsyn/A 41327-2025 tillsynsbegäran.docx", "A 41327-2025")</f>
        <v/>
      </c>
      <c r="AD42">
        <f>HYPERLINK("https://klasma.github.io/Logging_0682/tillsynsmail/A 41327-2025 tillsynsbegäran mail.docx", "A 41327-2025")</f>
        <v/>
      </c>
      <c r="AE42">
        <f>HYPERLINK("https://klasma.github.io/Logging_0682/fåglar/A 41327-2025 prioriterade fågelarter.docx", "A 41327-2025")</f>
        <v/>
      </c>
    </row>
    <row r="43" ht="15" customHeight="1">
      <c r="A43" t="inlineStr">
        <is>
          <t>A 33372-2025</t>
        </is>
      </c>
      <c r="B43" t="inlineStr">
        <is>
          <t>avverkningsanmälan</t>
        </is>
      </c>
      <c r="C43" t="inlineStr">
        <is>
          <t>Föryngringsavverkning</t>
        </is>
      </c>
      <c r="D43" s="1" t="n">
        <v>45841</v>
      </c>
      <c r="E43" s="1" t="n">
        <v>46322</v>
      </c>
      <c r="F43" t="inlineStr">
        <is>
          <t>JÖNKÖPINGS LÄN</t>
        </is>
      </c>
      <c r="G43" t="inlineStr">
        <is>
          <t>NÄSSJÖ</t>
        </is>
      </c>
      <c r="I43" t="n">
        <v>2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1</v>
      </c>
      <c r="U43" t="n">
        <v>1</v>
      </c>
      <c r="V43" s="2" t="inlineStr">
        <is>
          <t>Lopplummer (aggregat)</t>
        </is>
      </c>
      <c r="W43">
        <f>HYPERLINK("https://klasma.github.io/Logging_0682/artfynd/A 33372-2025 artfynd.xlsx", "A 33372-2025")</f>
        <v/>
      </c>
      <c r="X43">
        <f>HYPERLINK("https://klasma.github.io/Logging_0682/kartor/A 33372-2025 karta.png", "A 33372-2025")</f>
        <v/>
      </c>
      <c r="Y43">
        <f>HYPERLINK("https://klasma.github.io/Logging_0682/kartor_geotiff/A 33372-2025 georefererad karta.tif", "A 33372-2025")</f>
        <v/>
      </c>
      <c r="AA43">
        <f>HYPERLINK("https://klasma.github.io/Logging_0682/klagomål/A 33372-2025 FSC-klagomål.docx", "A 33372-2025")</f>
        <v/>
      </c>
      <c r="AB43">
        <f>HYPERLINK("https://klasma.github.io/Logging_0682/klagomålsmail/A 33372-2025 FSC-klagomål mail.docx", "A 33372-2025")</f>
        <v/>
      </c>
      <c r="AC43">
        <f>HYPERLINK("https://klasma.github.io/Logging_0682/tillsyn/A 33372-2025 tillsynsbegäran.docx", "A 33372-2025")</f>
        <v/>
      </c>
      <c r="AD43">
        <f>HYPERLINK("https://klasma.github.io/Logging_0682/tillsynsmail/A 33372-2025 tillsynsbegäran mail.docx", "A 33372-2025")</f>
        <v/>
      </c>
    </row>
    <row r="44" ht="15" customHeight="1">
      <c r="A44" t="inlineStr">
        <is>
          <t>A 38567-2026</t>
        </is>
      </c>
      <c r="B44" t="inlineStr">
        <is>
          <t>avverkningsanmälan</t>
        </is>
      </c>
      <c r="C44" t="inlineStr">
        <is>
          <t>Föryngringsavverkning</t>
        </is>
      </c>
      <c r="D44" s="1" t="n">
        <v>46283</v>
      </c>
      <c r="E44" s="1" t="n">
        <v>46322</v>
      </c>
      <c r="F44" t="inlineStr">
        <is>
          <t>JÖNKÖPINGS LÄN</t>
        </is>
      </c>
      <c r="G44" t="inlineStr">
        <is>
          <t>NÄSSJÖ</t>
        </is>
      </c>
      <c r="I44" t="n">
        <v>1.4</v>
      </c>
      <c r="J44" t="n">
        <v>0</v>
      </c>
      <c r="K44" t="n">
        <v>0</v>
      </c>
      <c r="L44" t="n">
        <v>0</v>
      </c>
      <c r="M44" t="n">
        <v>0</v>
      </c>
      <c r="N44" t="n">
        <v>1</v>
      </c>
      <c r="O44" t="n">
        <v>0</v>
      </c>
      <c r="P44" t="n">
        <v>0</v>
      </c>
      <c r="Q44" t="n">
        <v>1</v>
      </c>
      <c r="R44" t="n">
        <v>1</v>
      </c>
      <c r="S44" t="n">
        <v>1</v>
      </c>
      <c r="T44" t="n">
        <v>1</v>
      </c>
      <c r="U44" t="n">
        <v>0</v>
      </c>
      <c r="V44" s="2" t="inlineStr">
        <is>
          <t>Ask</t>
        </is>
      </c>
      <c r="W44">
        <f>HYPERLINK("https://klasma.github.io/Logging_0682/artfynd/A 38567-2026 artfynd.xlsx", "A 38567-2026")</f>
        <v/>
      </c>
      <c r="X44">
        <f>HYPERLINK("https://klasma.github.io/Logging_0682/kartor/A 38567-2026 karta.png", "A 38567-2026")</f>
        <v/>
      </c>
      <c r="Y44">
        <f>HYPERLINK("https://klasma.github.io/Logging_0682/kartor_geotiff/A 38567-2026 georefererad karta.tif", "A 38567-2026")</f>
        <v/>
      </c>
      <c r="AA44">
        <f>HYPERLINK("https://klasma.github.io/Logging_0682/klagomål/A 38567-2026 FSC-klagomål.docx", "A 38567-2026")</f>
        <v/>
      </c>
      <c r="AB44">
        <f>HYPERLINK("https://klasma.github.io/Logging_0682/klagomålsmail/A 38567-2026 FSC-klagomål mail.docx", "A 38567-2026")</f>
        <v/>
      </c>
      <c r="AC44">
        <f>HYPERLINK("https://klasma.github.io/Logging_0682/tillsyn/A 38567-2026 tillsynsbegäran.docx", "A 38567-2026")</f>
        <v/>
      </c>
      <c r="AD44">
        <f>HYPERLINK("https://klasma.github.io/Logging_0682/tillsynsmail/A 38567-2026 tillsynsbegäran mail.docx", "A 38567-2026")</f>
        <v/>
      </c>
    </row>
    <row r="45" ht="15" customHeight="1">
      <c r="A45" t="inlineStr">
        <is>
          <t>A 52937-2024</t>
        </is>
      </c>
      <c r="B45" t="inlineStr">
        <is>
          <t>avverkningsanmälan</t>
        </is>
      </c>
      <c r="C45" t="inlineStr">
        <is>
          <t>Föryngringsavverkning</t>
        </is>
      </c>
      <c r="D45" s="1" t="n">
        <v>45610</v>
      </c>
      <c r="E45" s="1" t="n">
        <v>46322</v>
      </c>
      <c r="F45" t="inlineStr">
        <is>
          <t>JÖNKÖPINGS LÄN</t>
        </is>
      </c>
      <c r="G45" t="inlineStr">
        <is>
          <t>NÄSSJÖ</t>
        </is>
      </c>
      <c r="I45" t="n">
        <v>0.9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1</v>
      </c>
      <c r="U45" t="n">
        <v>0</v>
      </c>
      <c r="V45" s="2" t="inlineStr">
        <is>
          <t>Spillkråka</t>
        </is>
      </c>
      <c r="W45">
        <f>HYPERLINK("https://klasma.github.io/Logging_0682/artfynd/A 52937-2024 artfynd.xlsx", "A 52937-2024")</f>
        <v/>
      </c>
      <c r="X45">
        <f>HYPERLINK("https://klasma.github.io/Logging_0682/kartor/A 52937-2024 karta.png", "A 52937-2024")</f>
        <v/>
      </c>
      <c r="Y45">
        <f>HYPERLINK("https://klasma.github.io/Logging_0682/kartor_geotiff/A 52937-2024 georefererad karta.tif", "A 52937-2024")</f>
        <v/>
      </c>
      <c r="AA45">
        <f>HYPERLINK("https://klasma.github.io/Logging_0682/klagomål/A 52937-2024 FSC-klagomål.docx", "A 52937-2024")</f>
        <v/>
      </c>
      <c r="AB45">
        <f>HYPERLINK("https://klasma.github.io/Logging_0682/klagomålsmail/A 52937-2024 FSC-klagomål mail.docx", "A 52937-2024")</f>
        <v/>
      </c>
      <c r="AC45">
        <f>HYPERLINK("https://klasma.github.io/Logging_0682/tillsyn/A 52937-2024 tillsynsbegäran.docx", "A 52937-2024")</f>
        <v/>
      </c>
      <c r="AD45">
        <f>HYPERLINK("https://klasma.github.io/Logging_0682/tillsynsmail/A 52937-2024 tillsynsbegäran mail.docx", "A 52937-2024")</f>
        <v/>
      </c>
      <c r="AE45">
        <f>HYPERLINK("https://klasma.github.io/Logging_0682/fåglar/A 52937-2024 prioriterade fågelarter.docx", "A 52937-2024")</f>
        <v/>
      </c>
    </row>
    <row r="46" ht="15" customHeight="1">
      <c r="A46" t="inlineStr">
        <is>
          <t>A 20607-2026</t>
        </is>
      </c>
      <c r="B46" t="inlineStr">
        <is>
          <t>avverkningsanmälan</t>
        </is>
      </c>
      <c r="C46" t="inlineStr">
        <is>
          <t>Avverkning för annat ändamål</t>
        </is>
      </c>
      <c r="D46" s="1" t="n">
        <v>46140</v>
      </c>
      <c r="E46" s="1" t="n">
        <v>46322</v>
      </c>
      <c r="F46" t="inlineStr">
        <is>
          <t>JÖNKÖPINGS LÄN</t>
        </is>
      </c>
      <c r="G46" t="inlineStr">
        <is>
          <t>NÄSSJÖ</t>
        </is>
      </c>
      <c r="I46" t="n">
        <v>0.5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1</v>
      </c>
      <c r="U46" t="n">
        <v>0</v>
      </c>
      <c r="V46" s="2" t="inlineStr">
        <is>
          <t>Grönvit nattviol</t>
        </is>
      </c>
      <c r="W46">
        <f>HYPERLINK("https://klasma.github.io/Logging_0682/artfynd/A 20607-2026 artfynd.xlsx", "A 20607-2026")</f>
        <v/>
      </c>
      <c r="X46">
        <f>HYPERLINK("https://klasma.github.io/Logging_0682/kartor/A 20607-2026 karta.png", "A 20607-2026")</f>
        <v/>
      </c>
      <c r="Y46">
        <f>HYPERLINK("https://klasma.github.io/Logging_0682/kartor_geotiff/A 20607-2026 georefererad karta.tif", "A 20607-2026")</f>
        <v/>
      </c>
      <c r="AA46">
        <f>HYPERLINK("https://klasma.github.io/Logging_0682/klagomål/A 20607-2026 FSC-klagomål.docx", "A 20607-2026")</f>
        <v/>
      </c>
      <c r="AB46">
        <f>HYPERLINK("https://klasma.github.io/Logging_0682/klagomålsmail/A 20607-2026 FSC-klagomål mail.docx", "A 20607-2026")</f>
        <v/>
      </c>
      <c r="AC46">
        <f>HYPERLINK("https://klasma.github.io/Logging_0682/tillsyn/A 20607-2026 tillsynsbegäran.docx", "A 20607-2026")</f>
        <v/>
      </c>
      <c r="AD46">
        <f>HYPERLINK("https://klasma.github.io/Logging_0682/tillsynsmail/A 20607-2026 tillsynsbegäran mail.docx", "A 20607-2026")</f>
        <v/>
      </c>
    </row>
    <row r="47" ht="15" customHeight="1">
      <c r="A47" t="inlineStr">
        <is>
          <t>A 55860-2022</t>
        </is>
      </c>
      <c r="B47" t="inlineStr">
        <is>
          <t>avverkningsanmälan</t>
        </is>
      </c>
      <c r="C47" t="inlineStr">
        <is>
          <t>Föryngringsavverkning</t>
        </is>
      </c>
      <c r="D47" s="1" t="n">
        <v>44886</v>
      </c>
      <c r="E47" s="1" t="n">
        <v>46322</v>
      </c>
      <c r="F47" t="inlineStr">
        <is>
          <t>JÖNKÖPINGS LÄN</t>
        </is>
      </c>
      <c r="G47" t="inlineStr">
        <is>
          <t>NÄSSJÖ</t>
        </is>
      </c>
      <c r="I47" t="n">
        <v>2.6</v>
      </c>
      <c r="J47" t="n">
        <v>1</v>
      </c>
      <c r="K47" t="n">
        <v>0</v>
      </c>
      <c r="L47" t="n">
        <v>0</v>
      </c>
      <c r="M47" t="n">
        <v>1</v>
      </c>
      <c r="N47" t="n">
        <v>0</v>
      </c>
      <c r="O47" t="n">
        <v>0</v>
      </c>
      <c r="P47" t="n">
        <v>0</v>
      </c>
      <c r="Q47" t="n">
        <v>1</v>
      </c>
      <c r="R47" t="n">
        <v>1</v>
      </c>
      <c r="S47" t="n">
        <v>1</v>
      </c>
      <c r="T47" t="n">
        <v>19</v>
      </c>
      <c r="U47" t="n">
        <v>0</v>
      </c>
      <c r="V47" s="2" t="inlineStr">
        <is>
          <t>Knärot</t>
        </is>
      </c>
      <c r="W47">
        <f>HYPERLINK("https://klasma.github.io/Logging_0682/artfynd/A 55860-2022 artfynd.xlsx", "A 55860-2022")</f>
        <v/>
      </c>
      <c r="X47">
        <f>HYPERLINK("https://klasma.github.io/Logging_0682/kartor/A 55860-2022 karta.png", "A 55860-2022")</f>
        <v/>
      </c>
      <c r="Y47">
        <f>HYPERLINK("https://klasma.github.io/Logging_0682/kartor_geotiff/A 55860-2022 georefererad karta.tif", "A 55860-2022")</f>
        <v/>
      </c>
      <c r="Z47">
        <f>HYPERLINK("https://klasma.github.io/Logging_0682/knärot/A 55860-2022 karta knärot.png", "A 55860-2022")</f>
        <v/>
      </c>
      <c r="AA47">
        <f>HYPERLINK("https://klasma.github.io/Logging_0682/klagomål/A 55860-2022 FSC-klagomål.docx", "A 55860-2022")</f>
        <v/>
      </c>
      <c r="AB47">
        <f>HYPERLINK("https://klasma.github.io/Logging_0682/klagomålsmail/A 55860-2022 FSC-klagomål mail.docx", "A 55860-2022")</f>
        <v/>
      </c>
      <c r="AC47">
        <f>HYPERLINK("https://klasma.github.io/Logging_0682/tillsyn/A 55860-2022 tillsynsbegäran.docx", "A 55860-2022")</f>
        <v/>
      </c>
      <c r="AD47">
        <f>HYPERLINK("https://klasma.github.io/Logging_0682/tillsynsmail/A 55860-2022 tillsynsbegäran mail.docx", "A 55860-2022")</f>
        <v/>
      </c>
    </row>
    <row r="48" ht="15" customHeight="1">
      <c r="A48" t="inlineStr">
        <is>
          <t>A 34798-2026</t>
        </is>
      </c>
      <c r="B48" t="inlineStr">
        <is>
          <t>avverkningsanmälan</t>
        </is>
      </c>
      <c r="C48" t="inlineStr">
        <is>
          <t>Avverkning för annat ändamål</t>
        </is>
      </c>
      <c r="D48" s="1" t="n">
        <v>46258</v>
      </c>
      <c r="E48" s="1" t="n">
        <v>46322</v>
      </c>
      <c r="F48" t="inlineStr">
        <is>
          <t>JÖNKÖPINGS LÄN</t>
        </is>
      </c>
      <c r="G48" t="inlineStr">
        <is>
          <t>NÄSSJÖ</t>
        </is>
      </c>
      <c r="I48" t="n">
        <v>0.4</v>
      </c>
      <c r="J48" t="n">
        <v>0</v>
      </c>
      <c r="K48" t="n">
        <v>1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1</v>
      </c>
      <c r="T48" t="n">
        <v>1</v>
      </c>
      <c r="U48" t="n">
        <v>0</v>
      </c>
      <c r="V48" s="2" t="inlineStr">
        <is>
          <t>Kornig nållav</t>
        </is>
      </c>
      <c r="W48">
        <f>HYPERLINK("https://klasma.github.io/Logging_0682/artfynd/A 34798-2026 artfynd.xlsx", "A 34798-2026")</f>
        <v/>
      </c>
      <c r="X48">
        <f>HYPERLINK("https://klasma.github.io/Logging_0682/kartor/A 34798-2026 karta.png", "A 34798-2026")</f>
        <v/>
      </c>
      <c r="Y48">
        <f>HYPERLINK("https://klasma.github.io/Logging_0682/kartor_geotiff/A 34798-2026 georefererad karta.tif", "A 34798-2026")</f>
        <v/>
      </c>
      <c r="AA48">
        <f>HYPERLINK("https://klasma.github.io/Logging_0682/klagomål/A 34798-2026 FSC-klagomål.docx", "A 34798-2026")</f>
        <v/>
      </c>
      <c r="AB48">
        <f>HYPERLINK("https://klasma.github.io/Logging_0682/klagomålsmail/A 34798-2026 FSC-klagomål mail.docx", "A 34798-2026")</f>
        <v/>
      </c>
      <c r="AC48">
        <f>HYPERLINK("https://klasma.github.io/Logging_0682/tillsyn/A 34798-2026 tillsynsbegäran.docx", "A 34798-2026")</f>
        <v/>
      </c>
      <c r="AD48">
        <f>HYPERLINK("https://klasma.github.io/Logging_0682/tillsynsmail/A 34798-2026 tillsynsbegäran mail.docx", "A 34798-2026")</f>
        <v/>
      </c>
    </row>
    <row r="49" ht="15" customHeight="1">
      <c r="A49" t="inlineStr">
        <is>
          <t>A 35328-2024</t>
        </is>
      </c>
      <c r="B49" t="inlineStr">
        <is>
          <t>avverkningsanmälan</t>
        </is>
      </c>
      <c r="C49" t="inlineStr">
        <is>
          <t>Föryngringsavverkning</t>
        </is>
      </c>
      <c r="D49" s="1" t="n">
        <v>45530</v>
      </c>
      <c r="E49" s="1" t="n">
        <v>46322</v>
      </c>
      <c r="F49" t="inlineStr">
        <is>
          <t>JÖNKÖPINGS LÄN</t>
        </is>
      </c>
      <c r="G49" t="inlineStr">
        <is>
          <t>NÄSSJÖ</t>
        </is>
      </c>
      <c r="I49" t="n">
        <v>0.7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1</v>
      </c>
      <c r="T49" t="n">
        <v>1</v>
      </c>
      <c r="U49" t="n">
        <v>1</v>
      </c>
      <c r="V49" s="2" t="inlineStr">
        <is>
          <t>Kungsfågel</t>
        </is>
      </c>
      <c r="W49">
        <f>HYPERLINK("https://klasma.github.io/Logging_0682/artfynd/A 35328-2024 artfynd.xlsx", "A 35328-2024")</f>
        <v/>
      </c>
      <c r="X49">
        <f>HYPERLINK("https://klasma.github.io/Logging_0682/kartor/A 35328-2024 karta.png", "A 35328-2024")</f>
        <v/>
      </c>
      <c r="Y49">
        <f>HYPERLINK("https://klasma.github.io/Logging_0682/kartor_geotiff/A 35328-2024 georefererad karta.tif", "A 35328-2024")</f>
        <v/>
      </c>
      <c r="AA49">
        <f>HYPERLINK("https://klasma.github.io/Logging_0682/klagomål/A 35328-2024 FSC-klagomål.docx", "A 35328-2024")</f>
        <v/>
      </c>
      <c r="AB49">
        <f>HYPERLINK("https://klasma.github.io/Logging_0682/klagomålsmail/A 35328-2024 FSC-klagomål mail.docx", "A 35328-2024")</f>
        <v/>
      </c>
      <c r="AC49">
        <f>HYPERLINK("https://klasma.github.io/Logging_0682/tillsyn/A 35328-2024 tillsynsbegäran.docx", "A 35328-2024")</f>
        <v/>
      </c>
      <c r="AD49">
        <f>HYPERLINK("https://klasma.github.io/Logging_0682/tillsynsmail/A 35328-2024 tillsynsbegäran mail.docx", "A 35328-2024")</f>
        <v/>
      </c>
    </row>
    <row r="50" ht="15" customHeight="1">
      <c r="A50" t="inlineStr">
        <is>
          <t>S 2370-2023</t>
        </is>
      </c>
      <c r="B50" t="inlineStr">
        <is>
          <t>samrådsanmälan</t>
        </is>
      </c>
      <c r="C50" t="inlineStr">
        <is>
          <t>Askåterföring</t>
        </is>
      </c>
      <c r="D50" s="1" t="n">
        <v>45108</v>
      </c>
      <c r="E50" s="1" t="n">
        <v>46322</v>
      </c>
      <c r="F50" t="inlineStr">
        <is>
          <t>JÖNKÖPINGS LÄN</t>
        </is>
      </c>
      <c r="G50" t="inlineStr">
        <is>
          <t>NÄSSJÖ</t>
        </is>
      </c>
      <c r="I50" t="n">
        <v>79.59999999999999</v>
      </c>
      <c r="J50" t="n">
        <v>0</v>
      </c>
      <c r="K50" t="n">
        <v>0</v>
      </c>
      <c r="L50" t="n">
        <v>1</v>
      </c>
      <c r="M50" t="n">
        <v>0</v>
      </c>
      <c r="N50" t="n">
        <v>0</v>
      </c>
      <c r="O50" t="n">
        <v>0</v>
      </c>
      <c r="P50" t="n">
        <v>0</v>
      </c>
      <c r="Q50" t="n">
        <v>1</v>
      </c>
      <c r="R50" t="n">
        <v>0</v>
      </c>
      <c r="S50" t="n">
        <v>1</v>
      </c>
      <c r="T50" t="n">
        <v>1</v>
      </c>
      <c r="U50" t="n">
        <v>1</v>
      </c>
      <c r="V50" s="2" t="inlineStr">
        <is>
          <t>Åkerkål</t>
        </is>
      </c>
      <c r="W50">
        <f>HYPERLINK("https://klasma.github.io/Logging_0682/artfynd/S 2370-2023 artfynd.xlsx", "S 2370-2023")</f>
        <v/>
      </c>
      <c r="X50">
        <f>HYPERLINK("https://klasma.github.io/Logging_0682/kartor/S 2370-2023 karta.png", "S 2370-2023")</f>
        <v/>
      </c>
      <c r="Y50">
        <f>HYPERLINK("https://klasma.github.io/Logging_0682/kartor_geotiff/S 2370-2023 georefererad karta.tif", "S 2370-2023")</f>
        <v/>
      </c>
      <c r="AA50">
        <f>HYPERLINK("https://klasma.github.io/Logging_0682/klagomål/S 2370-2023 FSC-klagomål.docx", "S 2370-2023")</f>
        <v/>
      </c>
      <c r="AB50">
        <f>HYPERLINK("https://klasma.github.io/Logging_0682/klagomålsmail/S 2370-2023 FSC-klagomål mail.docx", "S 2370-2023")</f>
        <v/>
      </c>
      <c r="AC50">
        <f>HYPERLINK("https://klasma.github.io/Logging_0682/tillsyn/S 2370-2023 tillsynsbegäran.docx", "S 2370-2023")</f>
        <v/>
      </c>
      <c r="AD50">
        <f>HYPERLINK("https://klasma.github.io/Logging_0682/tillsynsmail/S 2370-2023 tillsynsbegäran mail.docx", "S 2370-2023")</f>
        <v/>
      </c>
    </row>
    <row r="51" ht="15" customHeight="1">
      <c r="A51" t="inlineStr">
        <is>
          <t>S 2431-2023</t>
        </is>
      </c>
      <c r="B51" t="inlineStr">
        <is>
          <t>samrådsanmälan</t>
        </is>
      </c>
      <c r="C51" t="inlineStr">
        <is>
          <t>Askåterföring</t>
        </is>
      </c>
      <c r="D51" s="1" t="n">
        <v>45113</v>
      </c>
      <c r="E51" s="1" t="n">
        <v>46322</v>
      </c>
      <c r="F51" t="inlineStr">
        <is>
          <t>JÖNKÖPINGS LÄN</t>
        </is>
      </c>
      <c r="G51" t="inlineStr">
        <is>
          <t>NÄSSJÖ</t>
        </is>
      </c>
      <c r="I51" t="n">
        <v>28.9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1</v>
      </c>
      <c r="T51" t="n">
        <v>1</v>
      </c>
      <c r="U51" t="n">
        <v>1</v>
      </c>
      <c r="V51" s="2" t="inlineStr">
        <is>
          <t>Grönvit nattviol</t>
        </is>
      </c>
      <c r="W51">
        <f>HYPERLINK("https://klasma.github.io/Logging_0682/artfynd/S 2431-2023 artfynd.xlsx", "S 2431-2023")</f>
        <v/>
      </c>
      <c r="X51">
        <f>HYPERLINK("https://klasma.github.io/Logging_0682/kartor/S 2431-2023 karta.png", "S 2431-2023")</f>
        <v/>
      </c>
      <c r="Y51">
        <f>HYPERLINK("https://klasma.github.io/Logging_0682/kartor_geotiff/S 2431-2023 georefererad karta.tif", "S 2431-2023")</f>
        <v/>
      </c>
      <c r="AA51">
        <f>HYPERLINK("https://klasma.github.io/Logging_0682/klagomål/S 2431-2023 FSC-klagomål.docx", "S 2431-2023")</f>
        <v/>
      </c>
      <c r="AB51">
        <f>HYPERLINK("https://klasma.github.io/Logging_0682/klagomålsmail/S 2431-2023 FSC-klagomål mail.docx", "S 2431-2023")</f>
        <v/>
      </c>
      <c r="AC51">
        <f>HYPERLINK("https://klasma.github.io/Logging_0682/tillsyn/S 2431-2023 tillsynsbegäran.docx", "S 2431-2023")</f>
        <v/>
      </c>
      <c r="AD51">
        <f>HYPERLINK("https://klasma.github.io/Logging_0682/tillsynsmail/S 2431-2023 tillsynsbegäran mail.docx", "S 2431-2023")</f>
        <v/>
      </c>
    </row>
    <row r="52" ht="15" customHeight="1">
      <c r="A52" t="inlineStr">
        <is>
          <t>S 1083-2023</t>
        </is>
      </c>
      <c r="B52" t="inlineStr">
        <is>
          <t>samrådsanmälan</t>
        </is>
      </c>
      <c r="C52" t="inlineStr">
        <is>
          <t>Askåterföring</t>
        </is>
      </c>
      <c r="D52" s="1" t="n">
        <v>45013</v>
      </c>
      <c r="E52" s="1" t="n">
        <v>46322</v>
      </c>
      <c r="F52" t="inlineStr">
        <is>
          <t>JÖNKÖPINGS LÄN</t>
        </is>
      </c>
      <c r="G52" t="inlineStr">
        <is>
          <t>NÄSSJÖ</t>
        </is>
      </c>
      <c r="I52" t="n">
        <v>25.2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1</v>
      </c>
      <c r="T52" t="n">
        <v>1</v>
      </c>
      <c r="U52" t="n">
        <v>1</v>
      </c>
      <c r="V52" s="2" t="inlineStr">
        <is>
          <t>Gräsull</t>
        </is>
      </c>
      <c r="W52">
        <f>HYPERLINK("https://klasma.github.io/Logging_0682/artfynd/S 1083-2023 artfynd.xlsx", "S 1083-2023")</f>
        <v/>
      </c>
      <c r="X52">
        <f>HYPERLINK("https://klasma.github.io/Logging_0682/kartor/S 1083-2023 karta.png", "S 1083-2023")</f>
        <v/>
      </c>
      <c r="Y52">
        <f>HYPERLINK("https://klasma.github.io/Logging_0682/kartor_geotiff/S 1083-2023 georefererad karta.tif", "S 1083-2023")</f>
        <v/>
      </c>
      <c r="AA52">
        <f>HYPERLINK("https://klasma.github.io/Logging_0682/klagomål/S 1083-2023 FSC-klagomål.docx", "S 1083-2023")</f>
        <v/>
      </c>
      <c r="AB52">
        <f>HYPERLINK("https://klasma.github.io/Logging_0682/klagomålsmail/S 1083-2023 FSC-klagomål mail.docx", "S 1083-2023")</f>
        <v/>
      </c>
      <c r="AC52">
        <f>HYPERLINK("https://klasma.github.io/Logging_0682/tillsyn/S 1083-2023 tillsynsbegäran.docx", "S 1083-2023")</f>
        <v/>
      </c>
      <c r="AD52">
        <f>HYPERLINK("https://klasma.github.io/Logging_0682/tillsynsmail/S 1083-2023 tillsynsbegäran mail.docx", "S 1083-2023")</f>
        <v/>
      </c>
    </row>
    <row r="53" ht="15" customHeight="1">
      <c r="A53" t="inlineStr">
        <is>
          <t>S 1505-2023</t>
        </is>
      </c>
      <c r="B53" t="inlineStr">
        <is>
          <t>samrådsanmälan</t>
        </is>
      </c>
      <c r="C53" t="inlineStr">
        <is>
          <t>Askåterföring</t>
        </is>
      </c>
      <c r="D53" s="1" t="n">
        <v>45051</v>
      </c>
      <c r="E53" s="1" t="n">
        <v>46322</v>
      </c>
      <c r="F53" t="inlineStr">
        <is>
          <t>JÖNKÖPINGS LÄN</t>
        </is>
      </c>
      <c r="G53" t="inlineStr">
        <is>
          <t>NÄSSJÖ</t>
        </is>
      </c>
      <c r="I53" t="n">
        <v>49.7</v>
      </c>
      <c r="J53" t="n">
        <v>0</v>
      </c>
      <c r="K53" t="n">
        <v>0</v>
      </c>
      <c r="L53" t="n">
        <v>0</v>
      </c>
      <c r="M53" t="n">
        <v>0</v>
      </c>
      <c r="N53" t="n">
        <v>1</v>
      </c>
      <c r="O53" t="n">
        <v>0</v>
      </c>
      <c r="P53" t="n">
        <v>0</v>
      </c>
      <c r="Q53" t="n">
        <v>1</v>
      </c>
      <c r="R53" t="n">
        <v>1</v>
      </c>
      <c r="S53" t="n">
        <v>1</v>
      </c>
      <c r="T53" t="n">
        <v>1</v>
      </c>
      <c r="U53" t="n">
        <v>0</v>
      </c>
      <c r="V53" s="2" t="inlineStr">
        <is>
          <t>Ask</t>
        </is>
      </c>
      <c r="W53">
        <f>HYPERLINK("https://klasma.github.io/Logging_0682/artfynd/S 1505-2023 artfynd.xlsx", "S 1505-2023")</f>
        <v/>
      </c>
      <c r="X53">
        <f>HYPERLINK("https://klasma.github.io/Logging_0682/kartor/S 1505-2023 karta.png", "S 1505-2023")</f>
        <v/>
      </c>
      <c r="Y53">
        <f>HYPERLINK("https://klasma.github.io/Logging_0682/kartor_geotiff/S 1505-2023 georefererad karta.tif", "S 1505-2023")</f>
        <v/>
      </c>
      <c r="Z53">
        <f>HYPERLINK("https://klasma.github.io/Logging_0682/knärot/S 1505-2023 karta knärot.png", "S 1505-2023")</f>
        <v/>
      </c>
      <c r="AA53">
        <f>HYPERLINK("https://klasma.github.io/Logging_0682/klagomål/S 1505-2023 FSC-klagomål.docx", "S 1505-2023")</f>
        <v/>
      </c>
      <c r="AB53">
        <f>HYPERLINK("https://klasma.github.io/Logging_0682/klagomålsmail/S 1505-2023 FSC-klagomål mail.docx", "S 1505-2023")</f>
        <v/>
      </c>
      <c r="AC53">
        <f>HYPERLINK("https://klasma.github.io/Logging_0682/tillsyn/S 1505-2023 tillsynsbegäran.docx", "S 1505-2023")</f>
        <v/>
      </c>
      <c r="AD53">
        <f>HYPERLINK("https://klasma.github.io/Logging_0682/tillsynsmail/S 1505-2023 tillsynsbegäran mail.docx", "S 1505-2023")</f>
        <v/>
      </c>
    </row>
    <row r="54" ht="15" customHeight="1">
      <c r="A54" t="inlineStr">
        <is>
          <t>S 572-2025</t>
        </is>
      </c>
      <c r="B54" t="inlineStr">
        <is>
          <t>samrådsanmälan</t>
        </is>
      </c>
      <c r="C54" t="inlineStr">
        <is>
          <t>Askåterföring</t>
        </is>
      </c>
      <c r="D54" s="1" t="n">
        <v>45712</v>
      </c>
      <c r="E54" s="1" t="n">
        <v>46322</v>
      </c>
      <c r="F54" t="inlineStr">
        <is>
          <t>JÖNKÖPINGS LÄN</t>
        </is>
      </c>
      <c r="G54" t="inlineStr">
        <is>
          <t>NÄSSJÖ</t>
        </is>
      </c>
      <c r="H54" t="inlineStr">
        <is>
          <t>Kommuner</t>
        </is>
      </c>
      <c r="I54" t="n">
        <v>32.7</v>
      </c>
      <c r="J54" t="n">
        <v>0</v>
      </c>
      <c r="K54" t="n">
        <v>0</v>
      </c>
      <c r="L54" t="n">
        <v>0</v>
      </c>
      <c r="M54" t="n">
        <v>1</v>
      </c>
      <c r="N54" t="n">
        <v>0</v>
      </c>
      <c r="O54" t="n">
        <v>0</v>
      </c>
      <c r="P54" t="n">
        <v>0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s="2" t="inlineStr">
        <is>
          <t>Slåttergubbe</t>
        </is>
      </c>
      <c r="W54">
        <f>HYPERLINK("https://klasma.github.io/Logging_0682/artfynd/S 572-2025 artfynd.xlsx", "S 572-2025")</f>
        <v/>
      </c>
      <c r="X54">
        <f>HYPERLINK("https://klasma.github.io/Logging_0682/kartor/S 572-2025 karta.png", "S 572-2025")</f>
        <v/>
      </c>
      <c r="Y54">
        <f>HYPERLINK("https://klasma.github.io/Logging_0682/kartor_geotiff/S 572-2025 georefererad karta.tif", "S 572-2025")</f>
        <v/>
      </c>
      <c r="AA54">
        <f>HYPERLINK("https://klasma.github.io/Logging_0682/klagomål/S 572-2025 FSC-klagomål.docx", "S 572-2025")</f>
        <v/>
      </c>
      <c r="AB54">
        <f>HYPERLINK("https://klasma.github.io/Logging_0682/klagomålsmail/S 572-2025 FSC-klagomål mail.docx", "S 572-2025")</f>
        <v/>
      </c>
      <c r="AC54">
        <f>HYPERLINK("https://klasma.github.io/Logging_0682/tillsyn/S 572-2025 tillsynsbegäran.docx", "S 572-2025")</f>
        <v/>
      </c>
      <c r="AD54">
        <f>HYPERLINK("https://klasma.github.io/Logging_0682/tillsynsmail/S 572-2025 tillsynsbegäran mail.docx", "S 572-2025")</f>
        <v/>
      </c>
    </row>
    <row r="55" ht="15" customHeight="1">
      <c r="A55" t="inlineStr">
        <is>
          <t>A 8520-2022</t>
        </is>
      </c>
      <c r="B55" t="inlineStr">
        <is>
          <t>avverkningsanmälan</t>
        </is>
      </c>
      <c r="C55" t="inlineStr">
        <is>
          <t>Avverkning för att bevara och utveckla /försöksver</t>
        </is>
      </c>
      <c r="D55" s="1" t="n">
        <v>44613</v>
      </c>
      <c r="E55" s="1" t="n">
        <v>46322</v>
      </c>
      <c r="F55" t="inlineStr">
        <is>
          <t>JÖNKÖPINGS LÄN</t>
        </is>
      </c>
      <c r="G55" t="inlineStr">
        <is>
          <t>NÄSSJÖ</t>
        </is>
      </c>
      <c r="H55" t="inlineStr">
        <is>
          <t>Sveaskog</t>
        </is>
      </c>
      <c r="I55" t="n">
        <v>2.8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s="2" t="inlineStr"/>
    </row>
    <row r="56" ht="15" customHeight="1">
      <c r="A56" t="inlineStr">
        <is>
          <t>A 5142-2022</t>
        </is>
      </c>
      <c r="B56" t="inlineStr">
        <is>
          <t>avverkningsanmälan</t>
        </is>
      </c>
      <c r="C56" t="inlineStr">
        <is>
          <t>Föryngringsavverkning</t>
        </is>
      </c>
      <c r="D56" s="1" t="n">
        <v>44594</v>
      </c>
      <c r="E56" s="1" t="n">
        <v>46322</v>
      </c>
      <c r="F56" t="inlineStr">
        <is>
          <t>JÖNKÖPINGS LÄN</t>
        </is>
      </c>
      <c r="G56" t="inlineStr">
        <is>
          <t>NÄSSJÖ</t>
        </is>
      </c>
      <c r="I56" t="n">
        <v>1.1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s="2" t="inlineStr"/>
    </row>
    <row r="57" ht="15" customHeight="1">
      <c r="A57" t="inlineStr">
        <is>
          <t>A 72737-2021</t>
        </is>
      </c>
      <c r="B57" t="inlineStr">
        <is>
          <t>avverkningsanmälan</t>
        </is>
      </c>
      <c r="C57" t="inlineStr">
        <is>
          <t>Föryngringsavverkning</t>
        </is>
      </c>
      <c r="D57" s="1" t="n">
        <v>44546</v>
      </c>
      <c r="E57" s="1" t="n">
        <v>46322</v>
      </c>
      <c r="F57" t="inlineStr">
        <is>
          <t>JÖNKÖPINGS LÄN</t>
        </is>
      </c>
      <c r="G57" t="inlineStr">
        <is>
          <t>NÄSSJÖ</t>
        </is>
      </c>
      <c r="I57" t="n">
        <v>3.1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s="2" t="inlineStr"/>
    </row>
    <row r="58" ht="15" customHeight="1">
      <c r="A58" t="inlineStr">
        <is>
          <t>A 68668-2021</t>
        </is>
      </c>
      <c r="B58" t="inlineStr">
        <is>
          <t>avverkningsanmälan</t>
        </is>
      </c>
      <c r="C58" t="inlineStr">
        <is>
          <t>Föryngringsavverkning</t>
        </is>
      </c>
      <c r="D58" s="1" t="n">
        <v>44529</v>
      </c>
      <c r="E58" s="1" t="n">
        <v>46322</v>
      </c>
      <c r="F58" t="inlineStr">
        <is>
          <t>JÖNKÖPINGS LÄN</t>
        </is>
      </c>
      <c r="G58" t="inlineStr">
        <is>
          <t>NÄSSJÖ</t>
        </is>
      </c>
      <c r="I58" t="n">
        <v>2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s="2" t="inlineStr"/>
    </row>
    <row r="59" ht="15" customHeight="1">
      <c r="A59" t="inlineStr">
        <is>
          <t>A 62637-2021</t>
        </is>
      </c>
      <c r="B59" t="inlineStr">
        <is>
          <t>avverkningsanmälan</t>
        </is>
      </c>
      <c r="C59" t="inlineStr">
        <is>
          <t>Föryngringsavverkning</t>
        </is>
      </c>
      <c r="D59" s="1" t="n">
        <v>44503</v>
      </c>
      <c r="E59" s="1" t="n">
        <v>46322</v>
      </c>
      <c r="F59" t="inlineStr">
        <is>
          <t>JÖNKÖPINGS LÄN</t>
        </is>
      </c>
      <c r="G59" t="inlineStr">
        <is>
          <t>NÄSSJÖ</t>
        </is>
      </c>
      <c r="I59" t="n">
        <v>0.5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s="2" t="inlineStr"/>
    </row>
    <row r="60" ht="15" customHeight="1">
      <c r="A60" t="inlineStr">
        <is>
          <t>A 3399-2022</t>
        </is>
      </c>
      <c r="B60" t="inlineStr">
        <is>
          <t>avverkningsanmälan</t>
        </is>
      </c>
      <c r="C60" t="inlineStr">
        <is>
          <t>Föryngringsavverkning</t>
        </is>
      </c>
      <c r="D60" s="1" t="n">
        <v>44585</v>
      </c>
      <c r="E60" s="1" t="n">
        <v>46322</v>
      </c>
      <c r="F60" t="inlineStr">
        <is>
          <t>JÖNKÖPINGS LÄN</t>
        </is>
      </c>
      <c r="G60" t="inlineStr">
        <is>
          <t>NÄSSJÖ</t>
        </is>
      </c>
      <c r="I60" t="n">
        <v>1.8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s="2" t="inlineStr"/>
    </row>
    <row r="61" ht="15" customHeight="1">
      <c r="A61" t="inlineStr">
        <is>
          <t>A 44393-2022</t>
        </is>
      </c>
      <c r="B61" t="inlineStr">
        <is>
          <t>avverkningsanmälan</t>
        </is>
      </c>
      <c r="C61" t="inlineStr">
        <is>
          <t>Föryngringsavverkning</t>
        </is>
      </c>
      <c r="D61" s="1" t="n">
        <v>44838</v>
      </c>
      <c r="E61" s="1" t="n">
        <v>46322</v>
      </c>
      <c r="F61" t="inlineStr">
        <is>
          <t>JÖNKÖPINGS LÄN</t>
        </is>
      </c>
      <c r="G61" t="inlineStr">
        <is>
          <t>NÄSSJÖ</t>
        </is>
      </c>
      <c r="I61" t="n">
        <v>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s="2" t="inlineStr"/>
    </row>
    <row r="62" ht="15" customHeight="1">
      <c r="A62" t="inlineStr">
        <is>
          <t>A 4167-2022</t>
        </is>
      </c>
      <c r="B62" t="inlineStr">
        <is>
          <t>avverkningsanmälan</t>
        </is>
      </c>
      <c r="C62" t="inlineStr">
        <is>
          <t>Föryngringsavverkning</t>
        </is>
      </c>
      <c r="D62" s="1" t="n">
        <v>44588</v>
      </c>
      <c r="E62" s="1" t="n">
        <v>46322</v>
      </c>
      <c r="F62" t="inlineStr">
        <is>
          <t>JÖNKÖPINGS LÄN</t>
        </is>
      </c>
      <c r="G62" t="inlineStr">
        <is>
          <t>NÄSSJÖ</t>
        </is>
      </c>
      <c r="I62" t="n">
        <v>0.9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s="2" t="inlineStr"/>
    </row>
    <row r="63" ht="15" customHeight="1">
      <c r="A63" t="inlineStr">
        <is>
          <t>A 42039-2022</t>
        </is>
      </c>
      <c r="B63" t="inlineStr">
        <is>
          <t>avverkningsanmälan</t>
        </is>
      </c>
      <c r="C63" t="inlineStr">
        <is>
          <t>Föryngringsavverkning</t>
        </is>
      </c>
      <c r="D63" s="1" t="n">
        <v>44827</v>
      </c>
      <c r="E63" s="1" t="n">
        <v>46322</v>
      </c>
      <c r="F63" t="inlineStr">
        <is>
          <t>JÖNKÖPINGS LÄN</t>
        </is>
      </c>
      <c r="G63" t="inlineStr">
        <is>
          <t>NÄSSJÖ</t>
        </is>
      </c>
      <c r="I63" t="n">
        <v>3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s="2" t="inlineStr"/>
    </row>
    <row r="64" ht="15" customHeight="1">
      <c r="A64" t="inlineStr">
        <is>
          <t>A 1485-2022</t>
        </is>
      </c>
      <c r="B64" t="inlineStr">
        <is>
          <t>avverkningsanmälan</t>
        </is>
      </c>
      <c r="C64" t="inlineStr">
        <is>
          <t>Avverkning för annat ändamål</t>
        </is>
      </c>
      <c r="D64" s="1" t="n">
        <v>44573</v>
      </c>
      <c r="E64" s="1" t="n">
        <v>46322</v>
      </c>
      <c r="F64" t="inlineStr">
        <is>
          <t>JÖNKÖPINGS LÄN</t>
        </is>
      </c>
      <c r="G64" t="inlineStr">
        <is>
          <t>NÄSSJÖ</t>
        </is>
      </c>
      <c r="I64" t="n">
        <v>1.1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s="2" t="inlineStr"/>
    </row>
    <row r="65" ht="15" customHeight="1">
      <c r="A65" t="inlineStr">
        <is>
          <t>A 19077-2022</t>
        </is>
      </c>
      <c r="B65" t="inlineStr">
        <is>
          <t>avverkningsanmälan</t>
        </is>
      </c>
      <c r="C65" t="inlineStr">
        <is>
          <t>Avverkning för annat ändamål</t>
        </is>
      </c>
      <c r="D65" s="1" t="n">
        <v>44691</v>
      </c>
      <c r="E65" s="1" t="n">
        <v>46322</v>
      </c>
      <c r="F65" t="inlineStr">
        <is>
          <t>JÖNKÖPINGS LÄN</t>
        </is>
      </c>
      <c r="G65" t="inlineStr">
        <is>
          <t>NÄSSJÖ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s="2" t="inlineStr"/>
    </row>
    <row r="66" ht="15" customHeight="1">
      <c r="A66" t="inlineStr">
        <is>
          <t>A 2532-2022</t>
        </is>
      </c>
      <c r="B66" t="inlineStr">
        <is>
          <t>avverkningsanmälan</t>
        </is>
      </c>
      <c r="C66" t="inlineStr">
        <is>
          <t>Föryngringsavverkning</t>
        </is>
      </c>
      <c r="D66" s="1" t="n">
        <v>44579</v>
      </c>
      <c r="E66" s="1" t="n">
        <v>46322</v>
      </c>
      <c r="F66" t="inlineStr">
        <is>
          <t>JÖNKÖPINGS LÄN</t>
        </is>
      </c>
      <c r="G66" t="inlineStr">
        <is>
          <t>NÄSSJÖ</t>
        </is>
      </c>
      <c r="I66" t="n">
        <v>1.3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s="2" t="inlineStr"/>
    </row>
    <row r="67" ht="15" customHeight="1">
      <c r="A67" t="inlineStr">
        <is>
          <t>A 7141-2022</t>
        </is>
      </c>
      <c r="B67" t="inlineStr">
        <is>
          <t>avverkningsanmälan</t>
        </is>
      </c>
      <c r="C67" t="inlineStr">
        <is>
          <t>Föryngringsavverkning</t>
        </is>
      </c>
      <c r="D67" s="1" t="n">
        <v>44603</v>
      </c>
      <c r="E67" s="1" t="n">
        <v>46322</v>
      </c>
      <c r="F67" t="inlineStr">
        <is>
          <t>JÖNKÖPINGS LÄN</t>
        </is>
      </c>
      <c r="G67" t="inlineStr">
        <is>
          <t>NÄSSJÖ</t>
        </is>
      </c>
      <c r="I67" t="n">
        <v>0.5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s="2" t="inlineStr"/>
    </row>
    <row r="68" ht="15" customHeight="1">
      <c r="A68" t="inlineStr">
        <is>
          <t>A 62168-2021</t>
        </is>
      </c>
      <c r="B68" t="inlineStr">
        <is>
          <t>avverkningsanmälan</t>
        </is>
      </c>
      <c r="C68" t="inlineStr">
        <is>
          <t>Föryngringsavverkning</t>
        </is>
      </c>
      <c r="D68" s="1" t="n">
        <v>44502</v>
      </c>
      <c r="E68" s="1" t="n">
        <v>46322</v>
      </c>
      <c r="F68" t="inlineStr">
        <is>
          <t>JÖNKÖPINGS LÄN</t>
        </is>
      </c>
      <c r="G68" t="inlineStr">
        <is>
          <t>NÄSSJÖ</t>
        </is>
      </c>
      <c r="I68" t="n">
        <v>1.1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s="2" t="inlineStr"/>
    </row>
    <row r="69" ht="15" customHeight="1">
      <c r="A69" t="inlineStr">
        <is>
          <t>A 3626-2022</t>
        </is>
      </c>
      <c r="B69" t="inlineStr">
        <is>
          <t>avverkningsanmälan</t>
        </is>
      </c>
      <c r="C69" t="inlineStr">
        <is>
          <t>Föryngringsavverkning</t>
        </is>
      </c>
      <c r="D69" s="1" t="n">
        <v>44586</v>
      </c>
      <c r="E69" s="1" t="n">
        <v>46322</v>
      </c>
      <c r="F69" t="inlineStr">
        <is>
          <t>JÖNKÖPINGS LÄN</t>
        </is>
      </c>
      <c r="G69" t="inlineStr">
        <is>
          <t>NÄSSJÖ</t>
        </is>
      </c>
      <c r="I69" t="n">
        <v>2.6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s="2" t="inlineStr"/>
    </row>
    <row r="70" ht="15" customHeight="1">
      <c r="A70" t="inlineStr">
        <is>
          <t>A 39643-2022</t>
        </is>
      </c>
      <c r="B70" t="inlineStr">
        <is>
          <t>avverkningsanmälan</t>
        </is>
      </c>
      <c r="C70" t="inlineStr">
        <is>
          <t>Föryngringsavverkning</t>
        </is>
      </c>
      <c r="D70" s="1" t="n">
        <v>44818</v>
      </c>
      <c r="E70" s="1" t="n">
        <v>46322</v>
      </c>
      <c r="F70" t="inlineStr">
        <is>
          <t>JÖNKÖPINGS LÄN</t>
        </is>
      </c>
      <c r="G70" t="inlineStr">
        <is>
          <t>NÄSSJÖ</t>
        </is>
      </c>
      <c r="I70" t="n">
        <v>1.2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s="2" t="inlineStr"/>
    </row>
    <row r="71" ht="15" customHeight="1">
      <c r="A71" t="inlineStr">
        <is>
          <t>A 63577-2021</t>
        </is>
      </c>
      <c r="B71" t="inlineStr">
        <is>
          <t>avverkningsanmälan</t>
        </is>
      </c>
      <c r="C71" t="inlineStr">
        <is>
          <t>Föryngringsavverkning</t>
        </is>
      </c>
      <c r="D71" s="1" t="n">
        <v>44508</v>
      </c>
      <c r="E71" s="1" t="n">
        <v>46322</v>
      </c>
      <c r="F71" t="inlineStr">
        <is>
          <t>JÖNKÖPINGS LÄN</t>
        </is>
      </c>
      <c r="G71" t="inlineStr">
        <is>
          <t>NÄSSJÖ</t>
        </is>
      </c>
      <c r="I71" t="n">
        <v>0.2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s="2" t="inlineStr"/>
    </row>
    <row r="72" ht="15" customHeight="1">
      <c r="A72" t="inlineStr">
        <is>
          <t>A 8540-2022</t>
        </is>
      </c>
      <c r="B72" t="inlineStr">
        <is>
          <t>avverkningsanmälan</t>
        </is>
      </c>
      <c r="C72" t="inlineStr">
        <is>
          <t>Avverkning för annat ändamål</t>
        </is>
      </c>
      <c r="D72" s="1" t="n">
        <v>44613</v>
      </c>
      <c r="E72" s="1" t="n">
        <v>46322</v>
      </c>
      <c r="F72" t="inlineStr">
        <is>
          <t>JÖNKÖPINGS LÄN</t>
        </is>
      </c>
      <c r="G72" t="inlineStr">
        <is>
          <t>NÄSSJÖ</t>
        </is>
      </c>
      <c r="I72" t="n">
        <v>1.1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s="2" t="inlineStr"/>
    </row>
    <row r="73" ht="15" customHeight="1">
      <c r="A73" t="inlineStr">
        <is>
          <t>A 24641-2022</t>
        </is>
      </c>
      <c r="B73" t="inlineStr">
        <is>
          <t>avverkningsanmälan</t>
        </is>
      </c>
      <c r="C73" t="inlineStr">
        <is>
          <t>Föryngringsavverkning</t>
        </is>
      </c>
      <c r="D73" s="1" t="n">
        <v>44727</v>
      </c>
      <c r="E73" s="1" t="n">
        <v>46322</v>
      </c>
      <c r="F73" t="inlineStr">
        <is>
          <t>JÖNKÖPINGS LÄN</t>
        </is>
      </c>
      <c r="G73" t="inlineStr">
        <is>
          <t>NÄSSJÖ</t>
        </is>
      </c>
      <c r="I73" t="n">
        <v>0.5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s="2" t="inlineStr"/>
    </row>
    <row r="74" ht="15" customHeight="1">
      <c r="A74" t="inlineStr">
        <is>
          <t>A 45406-2022</t>
        </is>
      </c>
      <c r="B74" t="inlineStr">
        <is>
          <t>avverkningsanmälan</t>
        </is>
      </c>
      <c r="C74" t="inlineStr">
        <is>
          <t>Föryngringsavverkning</t>
        </is>
      </c>
      <c r="D74" s="1" t="n">
        <v>44844</v>
      </c>
      <c r="E74" s="1" t="n">
        <v>46322</v>
      </c>
      <c r="F74" t="inlineStr">
        <is>
          <t>JÖNKÖPINGS LÄN</t>
        </is>
      </c>
      <c r="G74" t="inlineStr">
        <is>
          <t>NÄSSJÖ</t>
        </is>
      </c>
      <c r="I74" t="n">
        <v>2.3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s="2" t="inlineStr"/>
    </row>
    <row r="75" ht="15" customHeight="1">
      <c r="A75" t="inlineStr">
        <is>
          <t>A 71609-2021</t>
        </is>
      </c>
      <c r="B75" t="inlineStr">
        <is>
          <t>avverkningsanmälan</t>
        </is>
      </c>
      <c r="C75" t="inlineStr">
        <is>
          <t>Föryngringsavverkning</t>
        </is>
      </c>
      <c r="D75" s="1" t="n">
        <v>44541</v>
      </c>
      <c r="E75" s="1" t="n">
        <v>46322</v>
      </c>
      <c r="F75" t="inlineStr">
        <is>
          <t>JÖNKÖPINGS LÄN</t>
        </is>
      </c>
      <c r="G75" t="inlineStr">
        <is>
          <t>NÄSSJÖ</t>
        </is>
      </c>
      <c r="I75" t="n">
        <v>0.6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s="2" t="inlineStr"/>
    </row>
    <row r="76" ht="15" customHeight="1">
      <c r="A76" t="inlineStr">
        <is>
          <t>A 43545-2022</t>
        </is>
      </c>
      <c r="B76" t="inlineStr">
        <is>
          <t>avverkningsanmälan</t>
        </is>
      </c>
      <c r="C76" t="inlineStr">
        <is>
          <t>Föryngringsavverkning</t>
        </is>
      </c>
      <c r="D76" s="1" t="n">
        <v>44837</v>
      </c>
      <c r="E76" s="1" t="n">
        <v>46322</v>
      </c>
      <c r="F76" t="inlineStr">
        <is>
          <t>JÖNKÖPINGS LÄN</t>
        </is>
      </c>
      <c r="G76" t="inlineStr">
        <is>
          <t>NÄSSJÖ</t>
        </is>
      </c>
      <c r="I76" t="n">
        <v>2.3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s="2" t="inlineStr"/>
    </row>
    <row r="77" ht="15" customHeight="1">
      <c r="A77" t="inlineStr">
        <is>
          <t>A 66505-2021</t>
        </is>
      </c>
      <c r="B77" t="inlineStr">
        <is>
          <t>avverkningsanmälan</t>
        </is>
      </c>
      <c r="C77" t="inlineStr">
        <is>
          <t>Föryngringsavverkning</t>
        </is>
      </c>
      <c r="D77" s="1" t="n">
        <v>44519</v>
      </c>
      <c r="E77" s="1" t="n">
        <v>46322</v>
      </c>
      <c r="F77" t="inlineStr">
        <is>
          <t>JÖNKÖPINGS LÄN</t>
        </is>
      </c>
      <c r="G77" t="inlineStr">
        <is>
          <t>NÄSSJÖ</t>
        </is>
      </c>
      <c r="I77" t="n">
        <v>0.9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s="2" t="inlineStr"/>
    </row>
    <row r="78" ht="15" customHeight="1">
      <c r="A78" t="inlineStr">
        <is>
          <t>A 15414-2022</t>
        </is>
      </c>
      <c r="B78" t="inlineStr">
        <is>
          <t>avverkningsanmälan</t>
        </is>
      </c>
      <c r="C78" t="inlineStr">
        <is>
          <t>Föryngringsavverkning</t>
        </is>
      </c>
      <c r="D78" s="1" t="n">
        <v>44659</v>
      </c>
      <c r="E78" s="1" t="n">
        <v>46322</v>
      </c>
      <c r="F78" t="inlineStr">
        <is>
          <t>JÖNKÖPINGS LÄN</t>
        </is>
      </c>
      <c r="G78" t="inlineStr">
        <is>
          <t>NÄSSJÖ</t>
        </is>
      </c>
      <c r="I78" t="n">
        <v>0.5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s="2" t="inlineStr"/>
    </row>
    <row r="79" ht="15" customHeight="1">
      <c r="A79" t="inlineStr">
        <is>
          <t>A 20945-2022</t>
        </is>
      </c>
      <c r="B79" t="inlineStr">
        <is>
          <t>avverkningsanmälan</t>
        </is>
      </c>
      <c r="C79" t="inlineStr">
        <is>
          <t>Avverkning för annat ändamål</t>
        </is>
      </c>
      <c r="D79" s="1" t="n">
        <v>44701</v>
      </c>
      <c r="E79" s="1" t="n">
        <v>46322</v>
      </c>
      <c r="F79" t="inlineStr">
        <is>
          <t>JÖNKÖPINGS LÄN</t>
        </is>
      </c>
      <c r="G79" t="inlineStr">
        <is>
          <t>NÄSSJÖ</t>
        </is>
      </c>
      <c r="I79" t="n">
        <v>0.1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s="2" t="inlineStr"/>
    </row>
    <row r="80" ht="15" customHeight="1">
      <c r="A80" t="inlineStr">
        <is>
          <t>A 2369-2022</t>
        </is>
      </c>
      <c r="B80" t="inlineStr">
        <is>
          <t>avverkningsanmälan</t>
        </is>
      </c>
      <c r="C80" t="inlineStr">
        <is>
          <t>Föryngringsavverkning</t>
        </is>
      </c>
      <c r="D80" s="1" t="n">
        <v>44579</v>
      </c>
      <c r="E80" s="1" t="n">
        <v>46322</v>
      </c>
      <c r="F80" t="inlineStr">
        <is>
          <t>JÖNKÖPINGS LÄN</t>
        </is>
      </c>
      <c r="G80" t="inlineStr">
        <is>
          <t>NÄSSJÖ</t>
        </is>
      </c>
      <c r="I80" t="n">
        <v>1.1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s="2" t="inlineStr"/>
    </row>
    <row r="81" ht="15" customHeight="1">
      <c r="A81" t="inlineStr">
        <is>
          <t>A 23549-2022</t>
        </is>
      </c>
      <c r="B81" t="inlineStr">
        <is>
          <t>avverkningsanmälan</t>
        </is>
      </c>
      <c r="C81" t="inlineStr">
        <is>
          <t>Avverkning för annat ändamål</t>
        </is>
      </c>
      <c r="D81" s="1" t="n">
        <v>44721</v>
      </c>
      <c r="E81" s="1" t="n">
        <v>46322</v>
      </c>
      <c r="F81" t="inlineStr">
        <is>
          <t>JÖNKÖPINGS LÄN</t>
        </is>
      </c>
      <c r="G81" t="inlineStr">
        <is>
          <t>NÄSSJÖ</t>
        </is>
      </c>
      <c r="I81" t="n">
        <v>0.4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s="2" t="inlineStr"/>
    </row>
    <row r="82" ht="15" customHeight="1">
      <c r="A82" t="inlineStr">
        <is>
          <t>A 16314-2022</t>
        </is>
      </c>
      <c r="B82" t="inlineStr">
        <is>
          <t>avverkningsanmälan</t>
        </is>
      </c>
      <c r="C82" t="inlineStr">
        <is>
          <t>Avverkning för annat ändamål</t>
        </is>
      </c>
      <c r="D82" s="1" t="n">
        <v>44670</v>
      </c>
      <c r="E82" s="1" t="n">
        <v>46322</v>
      </c>
      <c r="F82" t="inlineStr">
        <is>
          <t>JÖNKÖPINGS LÄN</t>
        </is>
      </c>
      <c r="G82" t="inlineStr">
        <is>
          <t>NÄSSJÖ</t>
        </is>
      </c>
      <c r="I82" t="n">
        <v>0.8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s="2" t="inlineStr"/>
    </row>
    <row r="83" ht="15" customHeight="1">
      <c r="A83" t="inlineStr">
        <is>
          <t>A 67599-2021</t>
        </is>
      </c>
      <c r="B83" t="inlineStr">
        <is>
          <t>avverkningsanmälan</t>
        </is>
      </c>
      <c r="C83" t="inlineStr">
        <is>
          <t>Föryngringsavverkning</t>
        </is>
      </c>
      <c r="D83" s="1" t="n">
        <v>44524</v>
      </c>
      <c r="E83" s="1" t="n">
        <v>46322</v>
      </c>
      <c r="F83" t="inlineStr">
        <is>
          <t>JÖNKÖPINGS LÄN</t>
        </is>
      </c>
      <c r="G83" t="inlineStr">
        <is>
          <t>NÄSSJÖ</t>
        </is>
      </c>
      <c r="I83" t="n">
        <v>4.3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s="2" t="inlineStr"/>
    </row>
    <row r="84" ht="15" customHeight="1">
      <c r="A84" t="inlineStr">
        <is>
          <t>A 29183-2022</t>
        </is>
      </c>
      <c r="B84" t="inlineStr">
        <is>
          <t>avverkningsanmälan</t>
        </is>
      </c>
      <c r="C84" t="inlineStr">
        <is>
          <t>Föryngringsavverkning</t>
        </is>
      </c>
      <c r="D84" s="1" t="n">
        <v>44750</v>
      </c>
      <c r="E84" s="1" t="n">
        <v>46322</v>
      </c>
      <c r="F84" t="inlineStr">
        <is>
          <t>JÖNKÖPINGS LÄN</t>
        </is>
      </c>
      <c r="G84" t="inlineStr">
        <is>
          <t>NÄSSJÖ</t>
        </is>
      </c>
      <c r="I84" t="n">
        <v>0.5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s="2" t="inlineStr"/>
    </row>
    <row r="85" ht="15" customHeight="1">
      <c r="A85" t="inlineStr">
        <is>
          <t>A 17369-2022</t>
        </is>
      </c>
      <c r="B85" t="inlineStr">
        <is>
          <t>avverkningsanmälan</t>
        </is>
      </c>
      <c r="C85" t="inlineStr">
        <is>
          <t>Föryngringsavverkning</t>
        </is>
      </c>
      <c r="D85" s="1" t="n">
        <v>44678</v>
      </c>
      <c r="E85" s="1" t="n">
        <v>46322</v>
      </c>
      <c r="F85" t="inlineStr">
        <is>
          <t>JÖNKÖPINGS LÄN</t>
        </is>
      </c>
      <c r="G85" t="inlineStr">
        <is>
          <t>NÄSSJÖ</t>
        </is>
      </c>
      <c r="I85" t="n">
        <v>12.9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s="2" t="inlineStr"/>
    </row>
    <row r="86" ht="15" customHeight="1">
      <c r="A86" t="inlineStr">
        <is>
          <t>A 48151-2022</t>
        </is>
      </c>
      <c r="B86" t="inlineStr">
        <is>
          <t>avverkningsanmälan</t>
        </is>
      </c>
      <c r="C86" t="inlineStr">
        <is>
          <t>Föryngringsavverkning</t>
        </is>
      </c>
      <c r="D86" s="1" t="n">
        <v>44858</v>
      </c>
      <c r="E86" s="1" t="n">
        <v>46322</v>
      </c>
      <c r="F86" t="inlineStr">
        <is>
          <t>JÖNKÖPINGS LÄN</t>
        </is>
      </c>
      <c r="G86" t="inlineStr">
        <is>
          <t>NÄSSJÖ</t>
        </is>
      </c>
      <c r="I86" t="n">
        <v>0.8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s="2" t="inlineStr"/>
    </row>
    <row r="87" ht="15" customHeight="1">
      <c r="A87" t="inlineStr">
        <is>
          <t>A 55466-2022</t>
        </is>
      </c>
      <c r="B87" t="inlineStr">
        <is>
          <t>avverkningsanmälan</t>
        </is>
      </c>
      <c r="C87" t="inlineStr">
        <is>
          <t>Föryngringsavverkning</t>
        </is>
      </c>
      <c r="D87" s="1" t="n">
        <v>44887</v>
      </c>
      <c r="E87" s="1" t="n">
        <v>46322</v>
      </c>
      <c r="F87" t="inlineStr">
        <is>
          <t>JÖNKÖPINGS LÄN</t>
        </is>
      </c>
      <c r="G87" t="inlineStr">
        <is>
          <t>NÄSSJÖ</t>
        </is>
      </c>
      <c r="I87" t="n">
        <v>1.6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s="2" t="inlineStr"/>
    </row>
    <row r="88" ht="15" customHeight="1">
      <c r="A88" t="inlineStr">
        <is>
          <t>A 11851-2022</t>
        </is>
      </c>
      <c r="B88" t="inlineStr">
        <is>
          <t>avverkningsanmälan</t>
        </is>
      </c>
      <c r="C88" t="inlineStr">
        <is>
          <t>Föryngringsavverkning</t>
        </is>
      </c>
      <c r="D88" s="1" t="n">
        <v>44635</v>
      </c>
      <c r="E88" s="1" t="n">
        <v>46322</v>
      </c>
      <c r="F88" t="inlineStr">
        <is>
          <t>JÖNKÖPINGS LÄN</t>
        </is>
      </c>
      <c r="G88" t="inlineStr">
        <is>
          <t>NÄSSJÖ</t>
        </is>
      </c>
      <c r="I88" t="n">
        <v>0.9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s="2" t="inlineStr"/>
    </row>
    <row r="89" ht="15" customHeight="1">
      <c r="A89" t="inlineStr">
        <is>
          <t>A 37946-2022</t>
        </is>
      </c>
      <c r="B89" t="inlineStr">
        <is>
          <t>avverkningsanmälan</t>
        </is>
      </c>
      <c r="C89" t="inlineStr">
        <is>
          <t>Föryngringsavverkning</t>
        </is>
      </c>
      <c r="D89" s="1" t="n">
        <v>44811</v>
      </c>
      <c r="E89" s="1" t="n">
        <v>46322</v>
      </c>
      <c r="F89" t="inlineStr">
        <is>
          <t>JÖNKÖPINGS LÄN</t>
        </is>
      </c>
      <c r="G89" t="inlineStr">
        <is>
          <t>NÄSSJÖ</t>
        </is>
      </c>
      <c r="I89" t="n">
        <v>2.4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s="2" t="inlineStr"/>
    </row>
    <row r="90" ht="15" customHeight="1">
      <c r="A90" t="inlineStr">
        <is>
          <t>A 625-2022</t>
        </is>
      </c>
      <c r="B90" t="inlineStr">
        <is>
          <t>avverkningsanmälan</t>
        </is>
      </c>
      <c r="C90" t="inlineStr">
        <is>
          <t>Föryngringsavverkning</t>
        </is>
      </c>
      <c r="D90" s="1" t="n">
        <v>44568</v>
      </c>
      <c r="E90" s="1" t="n">
        <v>46322</v>
      </c>
      <c r="F90" t="inlineStr">
        <is>
          <t>JÖNKÖPINGS LÄN</t>
        </is>
      </c>
      <c r="G90" t="inlineStr">
        <is>
          <t>NÄSSJÖ</t>
        </is>
      </c>
      <c r="I90" t="n">
        <v>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s="2" t="inlineStr"/>
    </row>
    <row r="91" ht="15" customHeight="1">
      <c r="A91" t="inlineStr">
        <is>
          <t>A 14037-2022</t>
        </is>
      </c>
      <c r="B91" t="inlineStr">
        <is>
          <t>avverkningsanmälan</t>
        </is>
      </c>
      <c r="C91" t="inlineStr">
        <is>
          <t>Avverkning för annat ändamål</t>
        </is>
      </c>
      <c r="D91" s="1" t="n">
        <v>44650</v>
      </c>
      <c r="E91" s="1" t="n">
        <v>46322</v>
      </c>
      <c r="F91" t="inlineStr">
        <is>
          <t>JÖNKÖPINGS LÄN</t>
        </is>
      </c>
      <c r="G91" t="inlineStr">
        <is>
          <t>NÄSSJÖ</t>
        </is>
      </c>
      <c r="I91" t="n">
        <v>0.3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s="2" t="inlineStr"/>
    </row>
    <row r="92" ht="15" customHeight="1">
      <c r="A92" t="inlineStr">
        <is>
          <t>A 45648-2024</t>
        </is>
      </c>
      <c r="B92" t="inlineStr">
        <is>
          <t>avverkningsanmälan</t>
        </is>
      </c>
      <c r="C92" t="inlineStr">
        <is>
          <t>Föryngringsavverkning</t>
        </is>
      </c>
      <c r="D92" s="1" t="n">
        <v>45579</v>
      </c>
      <c r="E92" s="1" t="n">
        <v>46322</v>
      </c>
      <c r="F92" t="inlineStr">
        <is>
          <t>JÖNKÖPINGS LÄN</t>
        </is>
      </c>
      <c r="G92" t="inlineStr">
        <is>
          <t>NÄSSJÖ</t>
        </is>
      </c>
      <c r="I92" t="n">
        <v>1.9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s="2" t="inlineStr"/>
    </row>
    <row r="93" ht="15" customHeight="1">
      <c r="A93" t="inlineStr">
        <is>
          <t>A 25418-2025</t>
        </is>
      </c>
      <c r="B93" t="inlineStr">
        <is>
          <t>avverkningsanmälan</t>
        </is>
      </c>
      <c r="C93" t="inlineStr">
        <is>
          <t>Föryngringsavverkning</t>
        </is>
      </c>
      <c r="D93" s="1" t="n">
        <v>45800</v>
      </c>
      <c r="E93" s="1" t="n">
        <v>46322</v>
      </c>
      <c r="F93" t="inlineStr">
        <is>
          <t>JÖNKÖPINGS LÄN</t>
        </is>
      </c>
      <c r="G93" t="inlineStr">
        <is>
          <t>NÄSSJÖ</t>
        </is>
      </c>
      <c r="I93" t="n">
        <v>3.1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s="2" t="inlineStr"/>
    </row>
    <row r="94" ht="15" customHeight="1">
      <c r="A94" t="inlineStr">
        <is>
          <t>A 39210-2025</t>
        </is>
      </c>
      <c r="B94" t="inlineStr">
        <is>
          <t>avverkningsanmälan</t>
        </is>
      </c>
      <c r="C94" t="inlineStr">
        <is>
          <t>Föryngringsavverkning</t>
        </is>
      </c>
      <c r="D94" s="1" t="n">
        <v>45888</v>
      </c>
      <c r="E94" s="1" t="n">
        <v>46322</v>
      </c>
      <c r="F94" t="inlineStr">
        <is>
          <t>JÖNKÖPINGS LÄN</t>
        </is>
      </c>
      <c r="G94" t="inlineStr">
        <is>
          <t>NÄSSJÖ</t>
        </is>
      </c>
      <c r="I94" t="n">
        <v>0.4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s="2" t="inlineStr"/>
    </row>
    <row r="95" ht="15" customHeight="1">
      <c r="A95" t="inlineStr">
        <is>
          <t>A 3160-2025</t>
        </is>
      </c>
      <c r="B95" t="inlineStr">
        <is>
          <t>avverkningsanmälan</t>
        </is>
      </c>
      <c r="C95" t="inlineStr">
        <is>
          <t>Föryngringsavverkning</t>
        </is>
      </c>
      <c r="D95" s="1" t="n">
        <v>45679</v>
      </c>
      <c r="E95" s="1" t="n">
        <v>46322</v>
      </c>
      <c r="F95" t="inlineStr">
        <is>
          <t>JÖNKÖPINGS LÄN</t>
        </is>
      </c>
      <c r="G95" t="inlineStr">
        <is>
          <t>NÄSSJÖ</t>
        </is>
      </c>
      <c r="I95" t="n">
        <v>1.2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s="2" t="inlineStr"/>
    </row>
    <row r="96" ht="15" customHeight="1">
      <c r="A96" t="inlineStr">
        <is>
          <t>A 39326-2025</t>
        </is>
      </c>
      <c r="B96" t="inlineStr">
        <is>
          <t>avverkningsanmälan</t>
        </is>
      </c>
      <c r="C96" t="inlineStr">
        <is>
          <t>Föryngringsavverkning</t>
        </is>
      </c>
      <c r="D96" s="1" t="n">
        <v>45889</v>
      </c>
      <c r="E96" s="1" t="n">
        <v>46322</v>
      </c>
      <c r="F96" t="inlineStr">
        <is>
          <t>JÖNKÖPINGS LÄN</t>
        </is>
      </c>
      <c r="G96" t="inlineStr">
        <is>
          <t>NÄSSJÖ</t>
        </is>
      </c>
      <c r="I96" t="n">
        <v>1.3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s="2" t="inlineStr"/>
    </row>
    <row r="97" ht="15" customHeight="1">
      <c r="A97" t="inlineStr">
        <is>
          <t>A 43697-2023</t>
        </is>
      </c>
      <c r="B97" t="inlineStr">
        <is>
          <t>avverkningsanmälan</t>
        </is>
      </c>
      <c r="C97" t="inlineStr">
        <is>
          <t>Föryngringsavverkning</t>
        </is>
      </c>
      <c r="D97" s="1" t="n">
        <v>45187</v>
      </c>
      <c r="E97" s="1" t="n">
        <v>46322</v>
      </c>
      <c r="F97" t="inlineStr">
        <is>
          <t>JÖNKÖPINGS LÄN</t>
        </is>
      </c>
      <c r="G97" t="inlineStr">
        <is>
          <t>NÄSSJÖ</t>
        </is>
      </c>
      <c r="I97" t="n">
        <v>1.9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s="2" t="inlineStr"/>
    </row>
    <row r="98" ht="15" customHeight="1">
      <c r="A98" t="inlineStr">
        <is>
          <t>A 10803-2024</t>
        </is>
      </c>
      <c r="B98" t="inlineStr">
        <is>
          <t>avverkningsanmälan</t>
        </is>
      </c>
      <c r="C98" t="inlineStr">
        <is>
          <t>Föryngringsavverkning</t>
        </is>
      </c>
      <c r="D98" s="1" t="n">
        <v>45369</v>
      </c>
      <c r="E98" s="1" t="n">
        <v>46322</v>
      </c>
      <c r="F98" t="inlineStr">
        <is>
          <t>JÖNKÖPINGS LÄN</t>
        </is>
      </c>
      <c r="G98" t="inlineStr">
        <is>
          <t>NÄSSJÖ</t>
        </is>
      </c>
      <c r="I98" t="n">
        <v>1.8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s="2" t="inlineStr"/>
    </row>
    <row r="99" ht="15" customHeight="1">
      <c r="A99" t="inlineStr">
        <is>
          <t>A 23571-2024</t>
        </is>
      </c>
      <c r="B99" t="inlineStr">
        <is>
          <t>avverkningsanmälan</t>
        </is>
      </c>
      <c r="C99" t="inlineStr">
        <is>
          <t>Föryngringsavverkning</t>
        </is>
      </c>
      <c r="D99" s="1" t="n">
        <v>45454</v>
      </c>
      <c r="E99" s="1" t="n">
        <v>46322</v>
      </c>
      <c r="F99" t="inlineStr">
        <is>
          <t>JÖNKÖPINGS LÄN</t>
        </is>
      </c>
      <c r="G99" t="inlineStr">
        <is>
          <t>NÄSSJÖ</t>
        </is>
      </c>
      <c r="I99" t="n">
        <v>1.1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s="2" t="inlineStr"/>
    </row>
    <row r="100" ht="15" customHeight="1">
      <c r="A100" t="inlineStr">
        <is>
          <t>A 2025-2024</t>
        </is>
      </c>
      <c r="B100" t="inlineStr">
        <is>
          <t>avverkningsanmälan</t>
        </is>
      </c>
      <c r="C100" t="inlineStr">
        <is>
          <t>Föryngringsavverkning</t>
        </is>
      </c>
      <c r="D100" s="1" t="n">
        <v>45308</v>
      </c>
      <c r="E100" s="1" t="n">
        <v>46322</v>
      </c>
      <c r="F100" t="inlineStr">
        <is>
          <t>JÖNKÖPINGS LÄN</t>
        </is>
      </c>
      <c r="G100" t="inlineStr">
        <is>
          <t>NÄSSJÖ</t>
        </is>
      </c>
      <c r="I100" t="n">
        <v>1.8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s="2" t="inlineStr"/>
    </row>
    <row r="101" ht="15" customHeight="1">
      <c r="A101" t="inlineStr">
        <is>
          <t>A 11120-2023</t>
        </is>
      </c>
      <c r="B101" t="inlineStr">
        <is>
          <t>avverkningsanmälan</t>
        </is>
      </c>
      <c r="C101" t="inlineStr">
        <is>
          <t>Föryngringsavverkning</t>
        </is>
      </c>
      <c r="D101" s="1" t="n">
        <v>44992</v>
      </c>
      <c r="E101" s="1" t="n">
        <v>46322</v>
      </c>
      <c r="F101" t="inlineStr">
        <is>
          <t>JÖNKÖPINGS LÄN</t>
        </is>
      </c>
      <c r="G101" t="inlineStr">
        <is>
          <t>NÄSSJÖ</t>
        </is>
      </c>
      <c r="H101" t="inlineStr">
        <is>
          <t>Kommuner</t>
        </is>
      </c>
      <c r="I101" t="n">
        <v>5.4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s="2" t="inlineStr"/>
    </row>
    <row r="102" ht="15" customHeight="1">
      <c r="A102" t="inlineStr">
        <is>
          <t>A 39555-2025</t>
        </is>
      </c>
      <c r="B102" t="inlineStr">
        <is>
          <t>avverkningsanmälan</t>
        </is>
      </c>
      <c r="C102" t="inlineStr">
        <is>
          <t>Avverkning för annat ändamål</t>
        </is>
      </c>
      <c r="D102" s="1" t="n">
        <v>45890</v>
      </c>
      <c r="E102" s="1" t="n">
        <v>46322</v>
      </c>
      <c r="F102" t="inlineStr">
        <is>
          <t>JÖNKÖPINGS LÄN</t>
        </is>
      </c>
      <c r="G102" t="inlineStr">
        <is>
          <t>NÄSSJÖ</t>
        </is>
      </c>
      <c r="I102" t="n">
        <v>0.7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s="2" t="inlineStr"/>
    </row>
    <row r="103" ht="15" customHeight="1">
      <c r="A103" t="inlineStr">
        <is>
          <t>A 55601-2023</t>
        </is>
      </c>
      <c r="B103" t="inlineStr">
        <is>
          <t>avverkningsanmälan</t>
        </is>
      </c>
      <c r="C103" t="inlineStr">
        <is>
          <t>Föryngringsavverkning</t>
        </is>
      </c>
      <c r="D103" s="1" t="n">
        <v>45238</v>
      </c>
      <c r="E103" s="1" t="n">
        <v>46322</v>
      </c>
      <c r="F103" t="inlineStr">
        <is>
          <t>JÖNKÖPINGS LÄN</t>
        </is>
      </c>
      <c r="G103" t="inlineStr">
        <is>
          <t>NÄSSJÖ</t>
        </is>
      </c>
      <c r="I103" t="n">
        <v>0.5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s="2" t="inlineStr"/>
    </row>
    <row r="104" ht="15" customHeight="1">
      <c r="A104" t="inlineStr">
        <is>
          <t>A 14116-2023</t>
        </is>
      </c>
      <c r="B104" t="inlineStr">
        <is>
          <t>avverkningsanmälan</t>
        </is>
      </c>
      <c r="C104" t="inlineStr">
        <is>
          <t>Föryngringsavverkning</t>
        </is>
      </c>
      <c r="D104" s="1" t="n">
        <v>45009</v>
      </c>
      <c r="E104" s="1" t="n">
        <v>46322</v>
      </c>
      <c r="F104" t="inlineStr">
        <is>
          <t>JÖNKÖPINGS LÄN</t>
        </is>
      </c>
      <c r="G104" t="inlineStr">
        <is>
          <t>NÄSSJÖ</t>
        </is>
      </c>
      <c r="I104" t="n">
        <v>1.3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s="2" t="inlineStr"/>
    </row>
    <row r="105" ht="15" customHeight="1">
      <c r="A105" t="inlineStr">
        <is>
          <t>A 29006-2024</t>
        </is>
      </c>
      <c r="B105" t="inlineStr">
        <is>
          <t>avverkningsanmälan</t>
        </is>
      </c>
      <c r="C105" t="inlineStr">
        <is>
          <t>Föryngringsavverkning</t>
        </is>
      </c>
      <c r="D105" s="1" t="n">
        <v>45481</v>
      </c>
      <c r="E105" s="1" t="n">
        <v>46322</v>
      </c>
      <c r="F105" t="inlineStr">
        <is>
          <t>JÖNKÖPINGS LÄN</t>
        </is>
      </c>
      <c r="G105" t="inlineStr">
        <is>
          <t>NÄSSJÖ</t>
        </is>
      </c>
      <c r="I105" t="n">
        <v>2.9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s="2" t="inlineStr"/>
    </row>
    <row r="106" ht="15" customHeight="1">
      <c r="A106" t="inlineStr">
        <is>
          <t>A 63630-2023</t>
        </is>
      </c>
      <c r="B106" t="inlineStr">
        <is>
          <t>avverkningsanmälan</t>
        </is>
      </c>
      <c r="C106" t="inlineStr">
        <is>
          <t>Avverkning för annat ändamål</t>
        </is>
      </c>
      <c r="D106" s="1" t="n">
        <v>45275</v>
      </c>
      <c r="E106" s="1" t="n">
        <v>46322</v>
      </c>
      <c r="F106" t="inlineStr">
        <is>
          <t>JÖNKÖPINGS LÄN</t>
        </is>
      </c>
      <c r="G106" t="inlineStr">
        <is>
          <t>NÄSSJÖ</t>
        </is>
      </c>
      <c r="I106" t="n">
        <v>0.4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s="2" t="inlineStr"/>
    </row>
    <row r="107" ht="15" customHeight="1">
      <c r="A107" t="inlineStr">
        <is>
          <t>A 42751-2023</t>
        </is>
      </c>
      <c r="B107" t="inlineStr">
        <is>
          <t>avverkningsanmälan</t>
        </is>
      </c>
      <c r="C107" t="inlineStr">
        <is>
          <t>Föryngringsavverkning</t>
        </is>
      </c>
      <c r="D107" s="1" t="n">
        <v>45181</v>
      </c>
      <c r="E107" s="1" t="n">
        <v>46322</v>
      </c>
      <c r="F107" t="inlineStr">
        <is>
          <t>JÖNKÖPINGS LÄN</t>
        </is>
      </c>
      <c r="G107" t="inlineStr">
        <is>
          <t>NÄSSJÖ</t>
        </is>
      </c>
      <c r="I107" t="n">
        <v>1.2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s="2" t="inlineStr"/>
    </row>
    <row r="108" ht="15" customHeight="1">
      <c r="A108" t="inlineStr">
        <is>
          <t>A 30186-2025</t>
        </is>
      </c>
      <c r="B108" t="inlineStr">
        <is>
          <t>avverkningsanmälan</t>
        </is>
      </c>
      <c r="C108" t="inlineStr">
        <is>
          <t>Föryngringsavverkning</t>
        </is>
      </c>
      <c r="D108" s="1" t="n">
        <v>45827</v>
      </c>
      <c r="E108" s="1" t="n">
        <v>46322</v>
      </c>
      <c r="F108" t="inlineStr">
        <is>
          <t>JÖNKÖPINGS LÄN</t>
        </is>
      </c>
      <c r="G108" t="inlineStr">
        <is>
          <t>NÄSSJÖ</t>
        </is>
      </c>
      <c r="I108" t="n">
        <v>2.1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s="2" t="inlineStr"/>
    </row>
    <row r="109" ht="15" customHeight="1">
      <c r="A109" t="inlineStr">
        <is>
          <t>A 41330-2025</t>
        </is>
      </c>
      <c r="B109" t="inlineStr">
        <is>
          <t>avverkningsanmälan</t>
        </is>
      </c>
      <c r="C109" t="inlineStr">
        <is>
          <t>Föryngringsavverkning</t>
        </is>
      </c>
      <c r="D109" s="1" t="n">
        <v>45899</v>
      </c>
      <c r="E109" s="1" t="n">
        <v>46322</v>
      </c>
      <c r="F109" t="inlineStr">
        <is>
          <t>JÖNKÖPINGS LÄN</t>
        </is>
      </c>
      <c r="G109" t="inlineStr">
        <is>
          <t>NÄSSJÖ</t>
        </is>
      </c>
      <c r="I109" t="n">
        <v>2.2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s="2" t="inlineStr"/>
    </row>
    <row r="110" ht="15" customHeight="1">
      <c r="A110" t="inlineStr">
        <is>
          <t>A 12576-2025</t>
        </is>
      </c>
      <c r="B110" t="inlineStr">
        <is>
          <t>avverkningsanmälan</t>
        </is>
      </c>
      <c r="C110" t="inlineStr">
        <is>
          <t>Föryngringsavverkning</t>
        </is>
      </c>
      <c r="D110" s="1" t="n">
        <v>45732</v>
      </c>
      <c r="E110" s="1" t="n">
        <v>46322</v>
      </c>
      <c r="F110" t="inlineStr">
        <is>
          <t>JÖNKÖPINGS LÄN</t>
        </is>
      </c>
      <c r="G110" t="inlineStr">
        <is>
          <t>NÄSSJÖ</t>
        </is>
      </c>
      <c r="I110" t="n">
        <v>1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s="2" t="inlineStr"/>
    </row>
    <row r="111" ht="15" customHeight="1">
      <c r="A111" t="inlineStr">
        <is>
          <t>A 42115-2025</t>
        </is>
      </c>
      <c r="B111" t="inlineStr">
        <is>
          <t>avverkningsanmälan</t>
        </is>
      </c>
      <c r="C111" t="inlineStr">
        <is>
          <t>Föryngringsavverkning</t>
        </is>
      </c>
      <c r="D111" s="1" t="n">
        <v>45904</v>
      </c>
      <c r="E111" s="1" t="n">
        <v>46322</v>
      </c>
      <c r="F111" t="inlineStr">
        <is>
          <t>JÖNKÖPINGS LÄN</t>
        </is>
      </c>
      <c r="G111" t="inlineStr">
        <is>
          <t>NÄSSJÖ</t>
        </is>
      </c>
      <c r="I111" t="n">
        <v>5.5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s="2" t="inlineStr"/>
    </row>
    <row r="112" ht="15" customHeight="1">
      <c r="A112" t="inlineStr">
        <is>
          <t>A 15759-2023</t>
        </is>
      </c>
      <c r="B112" t="inlineStr">
        <is>
          <t>avverkningsanmälan</t>
        </is>
      </c>
      <c r="C112" t="inlineStr">
        <is>
          <t>Föryngringsavverkning</t>
        </is>
      </c>
      <c r="D112" s="1" t="n">
        <v>45021</v>
      </c>
      <c r="E112" s="1" t="n">
        <v>46322</v>
      </c>
      <c r="F112" t="inlineStr">
        <is>
          <t>JÖNKÖPINGS LÄN</t>
        </is>
      </c>
      <c r="G112" t="inlineStr">
        <is>
          <t>NÄSSJÖ</t>
        </is>
      </c>
      <c r="I112" t="n">
        <v>4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s="2" t="inlineStr"/>
    </row>
    <row r="113" ht="15" customHeight="1">
      <c r="A113" t="inlineStr">
        <is>
          <t>A 42186-2025</t>
        </is>
      </c>
      <c r="B113" t="inlineStr">
        <is>
          <t>avverkningsanmälan</t>
        </is>
      </c>
      <c r="C113" t="inlineStr">
        <is>
          <t>Föryngringsavverkning</t>
        </is>
      </c>
      <c r="D113" s="1" t="n">
        <v>45904</v>
      </c>
      <c r="E113" s="1" t="n">
        <v>46322</v>
      </c>
      <c r="F113" t="inlineStr">
        <is>
          <t>JÖNKÖPINGS LÄN</t>
        </is>
      </c>
      <c r="G113" t="inlineStr">
        <is>
          <t>NÄSSJÖ</t>
        </is>
      </c>
      <c r="I113" t="n">
        <v>2.4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s="2" t="inlineStr"/>
    </row>
    <row r="114" ht="15" customHeight="1">
      <c r="A114" t="inlineStr">
        <is>
          <t>A 10645-2023</t>
        </is>
      </c>
      <c r="B114" t="inlineStr">
        <is>
          <t>avverkningsanmälan</t>
        </is>
      </c>
      <c r="C114" t="inlineStr">
        <is>
          <t>Föryngringsavverkning</t>
        </is>
      </c>
      <c r="D114" s="1" t="n">
        <v>44988</v>
      </c>
      <c r="E114" s="1" t="n">
        <v>46322</v>
      </c>
      <c r="F114" t="inlineStr">
        <is>
          <t>JÖNKÖPINGS LÄN</t>
        </is>
      </c>
      <c r="G114" t="inlineStr">
        <is>
          <t>NÄSSJÖ</t>
        </is>
      </c>
      <c r="I114" t="n">
        <v>1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s="2" t="inlineStr"/>
    </row>
    <row r="115" ht="15" customHeight="1">
      <c r="A115" t="inlineStr">
        <is>
          <t>A 36698-2025</t>
        </is>
      </c>
      <c r="B115" t="inlineStr">
        <is>
          <t>avverkningsanmälan</t>
        </is>
      </c>
      <c r="C115" t="inlineStr">
        <is>
          <t>Föryngringsavverkning</t>
        </is>
      </c>
      <c r="D115" s="1" t="n">
        <v>45873</v>
      </c>
      <c r="E115" s="1" t="n">
        <v>46322</v>
      </c>
      <c r="F115" t="inlineStr">
        <is>
          <t>JÖNKÖPINGS LÄN</t>
        </is>
      </c>
      <c r="G115" t="inlineStr">
        <is>
          <t>NÄSSJÖ</t>
        </is>
      </c>
      <c r="I115" t="n">
        <v>1.6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s="2" t="inlineStr"/>
    </row>
    <row r="116" ht="15" customHeight="1">
      <c r="A116" t="inlineStr">
        <is>
          <t>A 63628-2023</t>
        </is>
      </c>
      <c r="B116" t="inlineStr">
        <is>
          <t>avverkningsanmälan</t>
        </is>
      </c>
      <c r="C116" t="inlineStr">
        <is>
          <t>Föryngringsavverkning</t>
        </is>
      </c>
      <c r="D116" s="1" t="n">
        <v>45275</v>
      </c>
      <c r="E116" s="1" t="n">
        <v>46322</v>
      </c>
      <c r="F116" t="inlineStr">
        <is>
          <t>JÖNKÖPINGS LÄN</t>
        </is>
      </c>
      <c r="G116" t="inlineStr">
        <is>
          <t>NÄSSJÖ</t>
        </is>
      </c>
      <c r="I116" t="n">
        <v>0.8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s="2" t="inlineStr"/>
    </row>
    <row r="117" ht="15" customHeight="1">
      <c r="A117" t="inlineStr">
        <is>
          <t>A 42665-2025</t>
        </is>
      </c>
      <c r="B117" t="inlineStr">
        <is>
          <t>avverkningsanmälan</t>
        </is>
      </c>
      <c r="C117" t="inlineStr">
        <is>
          <t>Föryngringsavverkning</t>
        </is>
      </c>
      <c r="D117" s="1" t="n">
        <v>45907</v>
      </c>
      <c r="E117" s="1" t="n">
        <v>46322</v>
      </c>
      <c r="F117" t="inlineStr">
        <is>
          <t>JÖNKÖPINGS LÄN</t>
        </is>
      </c>
      <c r="G117" t="inlineStr">
        <is>
          <t>NÄSSJÖ</t>
        </is>
      </c>
      <c r="I117" t="n">
        <v>0.8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s="2" t="inlineStr"/>
    </row>
    <row r="118" ht="15" customHeight="1">
      <c r="A118" t="inlineStr">
        <is>
          <t>A 42667-2025</t>
        </is>
      </c>
      <c r="B118" t="inlineStr">
        <is>
          <t>avverkningsanmälan</t>
        </is>
      </c>
      <c r="C118" t="inlineStr">
        <is>
          <t>Föryngringsavverkning</t>
        </is>
      </c>
      <c r="D118" s="1" t="n">
        <v>45907</v>
      </c>
      <c r="E118" s="1" t="n">
        <v>46322</v>
      </c>
      <c r="F118" t="inlineStr">
        <is>
          <t>JÖNKÖPINGS LÄN</t>
        </is>
      </c>
      <c r="G118" t="inlineStr">
        <is>
          <t>NÄSSJÖ</t>
        </is>
      </c>
      <c r="I118" t="n">
        <v>3.7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s="2" t="inlineStr"/>
    </row>
    <row r="119" ht="15" customHeight="1">
      <c r="A119" t="inlineStr">
        <is>
          <t>A 13937-2025</t>
        </is>
      </c>
      <c r="B119" t="inlineStr">
        <is>
          <t>avverkningsanmälan</t>
        </is>
      </c>
      <c r="C119" t="inlineStr">
        <is>
          <t>Föryngringsavverkning</t>
        </is>
      </c>
      <c r="D119" s="1" t="n">
        <v>45737</v>
      </c>
      <c r="E119" s="1" t="n">
        <v>46322</v>
      </c>
      <c r="F119" t="inlineStr">
        <is>
          <t>JÖNKÖPINGS LÄN</t>
        </is>
      </c>
      <c r="G119" t="inlineStr">
        <is>
          <t>NÄSSJÖ</t>
        </is>
      </c>
      <c r="I119" t="n">
        <v>2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s="2" t="inlineStr"/>
    </row>
    <row r="120" ht="15" customHeight="1">
      <c r="A120" t="inlineStr">
        <is>
          <t>A 13938-2025</t>
        </is>
      </c>
      <c r="B120" t="inlineStr">
        <is>
          <t>avverkningsanmälan</t>
        </is>
      </c>
      <c r="C120" t="inlineStr">
        <is>
          <t>Föryngringsavverkning</t>
        </is>
      </c>
      <c r="D120" s="1" t="n">
        <v>45737</v>
      </c>
      <c r="E120" s="1" t="n">
        <v>46322</v>
      </c>
      <c r="F120" t="inlineStr">
        <is>
          <t>JÖNKÖPINGS LÄN</t>
        </is>
      </c>
      <c r="G120" t="inlineStr">
        <is>
          <t>NÄSSJÖ</t>
        </is>
      </c>
      <c r="I120" t="n">
        <v>2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s="2" t="inlineStr"/>
    </row>
    <row r="121" ht="15" customHeight="1">
      <c r="A121" t="inlineStr">
        <is>
          <t>A 20739-2025</t>
        </is>
      </c>
      <c r="B121" t="inlineStr">
        <is>
          <t>avverkningsanmälan</t>
        </is>
      </c>
      <c r="C121" t="inlineStr">
        <is>
          <t>Föryngringsavverkning</t>
        </is>
      </c>
      <c r="D121" s="1" t="n">
        <v>45776</v>
      </c>
      <c r="E121" s="1" t="n">
        <v>46322</v>
      </c>
      <c r="F121" t="inlineStr">
        <is>
          <t>JÖNKÖPINGS LÄN</t>
        </is>
      </c>
      <c r="G121" t="inlineStr">
        <is>
          <t>NÄSSJÖ</t>
        </is>
      </c>
      <c r="I121" t="n">
        <v>1.5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s="2" t="inlineStr"/>
    </row>
    <row r="122" ht="15" customHeight="1">
      <c r="A122" t="inlineStr">
        <is>
          <t>A 1489-2025</t>
        </is>
      </c>
      <c r="B122" t="inlineStr">
        <is>
          <t>avverkningsanmälan</t>
        </is>
      </c>
      <c r="C122" t="inlineStr">
        <is>
          <t>Föryngringsavverkning</t>
        </is>
      </c>
      <c r="D122" s="1" t="n">
        <v>45670</v>
      </c>
      <c r="E122" s="1" t="n">
        <v>46322</v>
      </c>
      <c r="F122" t="inlineStr">
        <is>
          <t>JÖNKÖPINGS LÄN</t>
        </is>
      </c>
      <c r="G122" t="inlineStr">
        <is>
          <t>NÄSSJÖ</t>
        </is>
      </c>
      <c r="I122" t="n">
        <v>1.6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s="2" t="inlineStr"/>
    </row>
    <row r="123" ht="15" customHeight="1">
      <c r="A123" t="inlineStr">
        <is>
          <t>A 28340-2023</t>
        </is>
      </c>
      <c r="B123" t="inlineStr">
        <is>
          <t>avverkningsanmälan</t>
        </is>
      </c>
      <c r="C123" t="inlineStr">
        <is>
          <t>Avverkning för annat ändamål</t>
        </is>
      </c>
      <c r="D123" s="1" t="n">
        <v>45099</v>
      </c>
      <c r="E123" s="1" t="n">
        <v>46322</v>
      </c>
      <c r="F123" t="inlineStr">
        <is>
          <t>JÖNKÖPINGS LÄN</t>
        </is>
      </c>
      <c r="G123" t="inlineStr">
        <is>
          <t>NÄSSJÖ</t>
        </is>
      </c>
      <c r="I123" t="n">
        <v>3.9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s="2" t="inlineStr"/>
    </row>
    <row r="124" ht="15" customHeight="1">
      <c r="A124" t="inlineStr">
        <is>
          <t>A 49880-2023</t>
        </is>
      </c>
      <c r="B124" t="inlineStr">
        <is>
          <t>avverkningsanmälan</t>
        </is>
      </c>
      <c r="C124" t="inlineStr">
        <is>
          <t>Avverkning för annat ändamål</t>
        </is>
      </c>
      <c r="D124" s="1" t="n">
        <v>45213</v>
      </c>
      <c r="E124" s="1" t="n">
        <v>46322</v>
      </c>
      <c r="F124" t="inlineStr">
        <is>
          <t>JÖNKÖPINGS LÄN</t>
        </is>
      </c>
      <c r="G124" t="inlineStr">
        <is>
          <t>NÄSSJÖ</t>
        </is>
      </c>
      <c r="I124" t="n">
        <v>1.7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s="2" t="inlineStr"/>
    </row>
    <row r="125" ht="15" customHeight="1">
      <c r="A125" t="inlineStr">
        <is>
          <t>A 20356-2023</t>
        </is>
      </c>
      <c r="B125" t="inlineStr">
        <is>
          <t>avverkningsanmälan</t>
        </is>
      </c>
      <c r="C125" t="inlineStr">
        <is>
          <t>Föryngringsavverkning</t>
        </is>
      </c>
      <c r="D125" s="1" t="n">
        <v>45056</v>
      </c>
      <c r="E125" s="1" t="n">
        <v>46322</v>
      </c>
      <c r="F125" t="inlineStr">
        <is>
          <t>JÖNKÖPINGS LÄN</t>
        </is>
      </c>
      <c r="G125" t="inlineStr">
        <is>
          <t>NÄSSJÖ</t>
        </is>
      </c>
      <c r="I125" t="n">
        <v>0.6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s="2" t="inlineStr"/>
    </row>
    <row r="126" ht="15" customHeight="1">
      <c r="A126" t="inlineStr">
        <is>
          <t>A 53962-2024</t>
        </is>
      </c>
      <c r="B126" t="inlineStr">
        <is>
          <t>avverkningsanmälan</t>
        </is>
      </c>
      <c r="C126" t="inlineStr">
        <is>
          <t>Föryngringsavverkning</t>
        </is>
      </c>
      <c r="D126" s="1" t="n">
        <v>45616</v>
      </c>
      <c r="E126" s="1" t="n">
        <v>46322</v>
      </c>
      <c r="F126" t="inlineStr">
        <is>
          <t>JÖNKÖPINGS LÄN</t>
        </is>
      </c>
      <c r="G126" t="inlineStr">
        <is>
          <t>NÄSSJÖ</t>
        </is>
      </c>
      <c r="I126" t="n">
        <v>1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s="2" t="inlineStr"/>
    </row>
    <row r="127" ht="15" customHeight="1">
      <c r="A127" t="inlineStr">
        <is>
          <t>A 16850-2025</t>
        </is>
      </c>
      <c r="B127" t="inlineStr">
        <is>
          <t>avverkningsanmälan</t>
        </is>
      </c>
      <c r="C127" t="inlineStr">
        <is>
          <t>Föryngringsavverkning</t>
        </is>
      </c>
      <c r="D127" s="1" t="n">
        <v>45754</v>
      </c>
      <c r="E127" s="1" t="n">
        <v>46322</v>
      </c>
      <c r="F127" t="inlineStr">
        <is>
          <t>JÖNKÖPINGS LÄN</t>
        </is>
      </c>
      <c r="G127" t="inlineStr">
        <is>
          <t>NÄSSJÖ</t>
        </is>
      </c>
      <c r="I127" t="n">
        <v>0.7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s="2" t="inlineStr"/>
    </row>
    <row r="128" ht="15" customHeight="1">
      <c r="A128" t="inlineStr">
        <is>
          <t>A 15993-2022</t>
        </is>
      </c>
      <c r="B128" t="inlineStr">
        <is>
          <t>avverkningsanmälan</t>
        </is>
      </c>
      <c r="C128" t="inlineStr">
        <is>
          <t>Avverkning för annat ändamål</t>
        </is>
      </c>
      <c r="D128" s="1" t="n">
        <v>44665</v>
      </c>
      <c r="E128" s="1" t="n">
        <v>46322</v>
      </c>
      <c r="F128" t="inlineStr">
        <is>
          <t>JÖNKÖPINGS LÄN</t>
        </is>
      </c>
      <c r="G128" t="inlineStr">
        <is>
          <t>NÄSSJÖ</t>
        </is>
      </c>
      <c r="I128" t="n">
        <v>2.7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s="2" t="inlineStr"/>
    </row>
    <row r="129" ht="15" customHeight="1">
      <c r="A129" t="inlineStr">
        <is>
          <t>A 27082-2026</t>
        </is>
      </c>
      <c r="B129" t="inlineStr">
        <is>
          <t>avverkningsanmälan</t>
        </is>
      </c>
      <c r="C129" t="inlineStr">
        <is>
          <t>Föryngringsavverkning</t>
        </is>
      </c>
      <c r="D129" s="1" t="n">
        <v>46187</v>
      </c>
      <c r="E129" s="1" t="n">
        <v>46322</v>
      </c>
      <c r="F129" t="inlineStr">
        <is>
          <t>JÖNKÖPINGS LÄN</t>
        </is>
      </c>
      <c r="G129" t="inlineStr">
        <is>
          <t>NÄSSJÖ</t>
        </is>
      </c>
      <c r="I129" t="n">
        <v>1.1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s="2" t="inlineStr"/>
    </row>
    <row r="130" ht="15" customHeight="1">
      <c r="A130" t="inlineStr">
        <is>
          <t>A 27083-2026</t>
        </is>
      </c>
      <c r="B130" t="inlineStr">
        <is>
          <t>avverkningsanmälan</t>
        </is>
      </c>
      <c r="C130" t="inlineStr">
        <is>
          <t>Föryngringsavverkning</t>
        </is>
      </c>
      <c r="D130" s="1" t="n">
        <v>46187</v>
      </c>
      <c r="E130" s="1" t="n">
        <v>46322</v>
      </c>
      <c r="F130" t="inlineStr">
        <is>
          <t>JÖNKÖPINGS LÄN</t>
        </is>
      </c>
      <c r="G130" t="inlineStr">
        <is>
          <t>NÄSSJÖ</t>
        </is>
      </c>
      <c r="I130" t="n">
        <v>1.4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s="2" t="inlineStr"/>
    </row>
    <row r="131" ht="15" customHeight="1">
      <c r="A131" t="inlineStr">
        <is>
          <t>A 44763-2025</t>
        </is>
      </c>
      <c r="B131" t="inlineStr">
        <is>
          <t>avverkningsanmälan</t>
        </is>
      </c>
      <c r="C131" t="inlineStr">
        <is>
          <t>Avverkning för annat ändamål</t>
        </is>
      </c>
      <c r="D131" s="1" t="n">
        <v>45917</v>
      </c>
      <c r="E131" s="1" t="n">
        <v>46322</v>
      </c>
      <c r="F131" t="inlineStr">
        <is>
          <t>JÖNKÖPINGS LÄN</t>
        </is>
      </c>
      <c r="G131" t="inlineStr">
        <is>
          <t>NÄSSJÖ</t>
        </is>
      </c>
      <c r="I131" t="n">
        <v>0.5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s="2" t="inlineStr"/>
    </row>
    <row r="132" ht="15" customHeight="1">
      <c r="A132" t="inlineStr">
        <is>
          <t>A 7357-2025</t>
        </is>
      </c>
      <c r="B132" t="inlineStr">
        <is>
          <t>avverkningsanmälan</t>
        </is>
      </c>
      <c r="C132" t="inlineStr">
        <is>
          <t>Föryngringsavverkning</t>
        </is>
      </c>
      <c r="D132" s="1" t="n">
        <v>45704</v>
      </c>
      <c r="E132" s="1" t="n">
        <v>46322</v>
      </c>
      <c r="F132" t="inlineStr">
        <is>
          <t>JÖNKÖPINGS LÄN</t>
        </is>
      </c>
      <c r="G132" t="inlineStr">
        <is>
          <t>NÄSSJÖ</t>
        </is>
      </c>
      <c r="I132" t="n">
        <v>0.4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s="2" t="inlineStr"/>
    </row>
    <row r="133" ht="15" customHeight="1">
      <c r="A133" t="inlineStr">
        <is>
          <t>A 10436-2025</t>
        </is>
      </c>
      <c r="B133" t="inlineStr">
        <is>
          <t>avverkningsanmälan</t>
        </is>
      </c>
      <c r="C133" t="inlineStr">
        <is>
          <t>Avverkning för annat ändamål</t>
        </is>
      </c>
      <c r="D133" s="1" t="n">
        <v>45720</v>
      </c>
      <c r="E133" s="1" t="n">
        <v>46322</v>
      </c>
      <c r="F133" t="inlineStr">
        <is>
          <t>JÖNKÖPINGS LÄN</t>
        </is>
      </c>
      <c r="G133" t="inlineStr">
        <is>
          <t>NÄSSJÖ</t>
        </is>
      </c>
      <c r="I133" t="n">
        <v>0.2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s="2" t="inlineStr"/>
    </row>
    <row r="134" ht="15" customHeight="1">
      <c r="A134" t="inlineStr">
        <is>
          <t>A 51136-2023</t>
        </is>
      </c>
      <c r="B134" t="inlineStr">
        <is>
          <t>avverkningsanmälan</t>
        </is>
      </c>
      <c r="C134" t="inlineStr">
        <is>
          <t>Avverkning för annat ändamål</t>
        </is>
      </c>
      <c r="D134" s="1" t="n">
        <v>45219</v>
      </c>
      <c r="E134" s="1" t="n">
        <v>46322</v>
      </c>
      <c r="F134" t="inlineStr">
        <is>
          <t>JÖNKÖPINGS LÄN</t>
        </is>
      </c>
      <c r="G134" t="inlineStr">
        <is>
          <t>NÄSSJÖ</t>
        </is>
      </c>
      <c r="I134" t="n">
        <v>0.9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s="2" t="inlineStr"/>
    </row>
    <row r="135" ht="15" customHeight="1">
      <c r="A135" t="inlineStr">
        <is>
          <t>A 46580-2022</t>
        </is>
      </c>
      <c r="B135" t="inlineStr">
        <is>
          <t>avverkningsanmälan</t>
        </is>
      </c>
      <c r="C135" t="inlineStr">
        <is>
          <t>Föryngringsavverkning</t>
        </is>
      </c>
      <c r="D135" s="1" t="n">
        <v>44848</v>
      </c>
      <c r="E135" s="1" t="n">
        <v>46322</v>
      </c>
      <c r="F135" t="inlineStr">
        <is>
          <t>JÖNKÖPINGS LÄN</t>
        </is>
      </c>
      <c r="G135" t="inlineStr">
        <is>
          <t>NÄSSJÖ</t>
        </is>
      </c>
      <c r="I135" t="n">
        <v>2.2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s="2" t="inlineStr"/>
    </row>
    <row r="136" ht="15" customHeight="1">
      <c r="A136" t="inlineStr">
        <is>
          <t>A 2218-2024</t>
        </is>
      </c>
      <c r="B136" t="inlineStr">
        <is>
          <t>avverkningsanmälan</t>
        </is>
      </c>
      <c r="C136" t="inlineStr">
        <is>
          <t>Föryngringsavverkning</t>
        </is>
      </c>
      <c r="D136" s="1" t="n">
        <v>45309</v>
      </c>
      <c r="E136" s="1" t="n">
        <v>46322</v>
      </c>
      <c r="F136" t="inlineStr">
        <is>
          <t>JÖNKÖPINGS LÄN</t>
        </is>
      </c>
      <c r="G136" t="inlineStr">
        <is>
          <t>NÄSSJÖ</t>
        </is>
      </c>
      <c r="I136" t="n">
        <v>1.7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s="2" t="inlineStr"/>
    </row>
    <row r="137" ht="15" customHeight="1">
      <c r="A137" t="inlineStr">
        <is>
          <t>A 8531-2023</t>
        </is>
      </c>
      <c r="B137" t="inlineStr">
        <is>
          <t>avverkningsanmälan</t>
        </is>
      </c>
      <c r="C137" t="inlineStr">
        <is>
          <t>Föryngringsavverkning</t>
        </is>
      </c>
      <c r="D137" s="1" t="n">
        <v>44972</v>
      </c>
      <c r="E137" s="1" t="n">
        <v>46322</v>
      </c>
      <c r="F137" t="inlineStr">
        <is>
          <t>JÖNKÖPINGS LÄN</t>
        </is>
      </c>
      <c r="G137" t="inlineStr">
        <is>
          <t>NÄSSJÖ</t>
        </is>
      </c>
      <c r="I137" t="n">
        <v>2.1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s="2" t="inlineStr"/>
    </row>
    <row r="138" ht="15" customHeight="1">
      <c r="A138" t="inlineStr">
        <is>
          <t>A 1248-2024</t>
        </is>
      </c>
      <c r="B138" t="inlineStr">
        <is>
          <t>avverkningsanmälan</t>
        </is>
      </c>
      <c r="C138" t="inlineStr">
        <is>
          <t>Föryngringsavverkning</t>
        </is>
      </c>
      <c r="D138" s="1" t="n">
        <v>45302</v>
      </c>
      <c r="E138" s="1" t="n">
        <v>46322</v>
      </c>
      <c r="F138" t="inlineStr">
        <is>
          <t>JÖNKÖPINGS LÄN</t>
        </is>
      </c>
      <c r="G138" t="inlineStr">
        <is>
          <t>NÄSSJÖ</t>
        </is>
      </c>
      <c r="I138" t="n">
        <v>1.5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s="2" t="inlineStr"/>
    </row>
    <row r="139" ht="15" customHeight="1">
      <c r="A139" t="inlineStr">
        <is>
          <t>A 31041-2023</t>
        </is>
      </c>
      <c r="B139" t="inlineStr">
        <is>
          <t>avverkningsanmälan</t>
        </is>
      </c>
      <c r="C139" t="inlineStr">
        <is>
          <t>Föryngringsavverkning</t>
        </is>
      </c>
      <c r="D139" s="1" t="n">
        <v>45113</v>
      </c>
      <c r="E139" s="1" t="n">
        <v>46322</v>
      </c>
      <c r="F139" t="inlineStr">
        <is>
          <t>JÖNKÖPINGS LÄN</t>
        </is>
      </c>
      <c r="G139" t="inlineStr">
        <is>
          <t>NÄSSJÖ</t>
        </is>
      </c>
      <c r="I139" t="n">
        <v>0.9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s="2" t="inlineStr"/>
    </row>
    <row r="140" ht="15" customHeight="1">
      <c r="A140" t="inlineStr">
        <is>
          <t>A 52671-2022</t>
        </is>
      </c>
      <c r="B140" t="inlineStr">
        <is>
          <t>avverkningsanmälan</t>
        </is>
      </c>
      <c r="C140" t="inlineStr">
        <is>
          <t>Föryngringsavverkning</t>
        </is>
      </c>
      <c r="D140" s="1" t="n">
        <v>44874</v>
      </c>
      <c r="E140" s="1" t="n">
        <v>46322</v>
      </c>
      <c r="F140" t="inlineStr">
        <is>
          <t>JÖNKÖPINGS LÄN</t>
        </is>
      </c>
      <c r="G140" t="inlineStr">
        <is>
          <t>NÄSSJÖ</t>
        </is>
      </c>
      <c r="I140" t="n">
        <v>2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s="2" t="inlineStr"/>
    </row>
    <row r="141" ht="15" customHeight="1">
      <c r="A141" t="inlineStr">
        <is>
          <t>A 36945-2023</t>
        </is>
      </c>
      <c r="B141" t="inlineStr">
        <is>
          <t>avverkningsanmälan</t>
        </is>
      </c>
      <c r="C141" t="inlineStr">
        <is>
          <t>Föryngringsavverkning</t>
        </is>
      </c>
      <c r="D141" s="1" t="n">
        <v>45154</v>
      </c>
      <c r="E141" s="1" t="n">
        <v>46322</v>
      </c>
      <c r="F141" t="inlineStr">
        <is>
          <t>JÖNKÖPINGS LÄN</t>
        </is>
      </c>
      <c r="G141" t="inlineStr">
        <is>
          <t>NÄSSJÖ</t>
        </is>
      </c>
      <c r="I141" t="n">
        <v>5.2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s="2" t="inlineStr"/>
    </row>
    <row r="142" ht="15" customHeight="1">
      <c r="A142" t="inlineStr">
        <is>
          <t>A 63087-2023</t>
        </is>
      </c>
      <c r="B142" t="inlineStr">
        <is>
          <t>avverkningsanmälan</t>
        </is>
      </c>
      <c r="C142" t="inlineStr">
        <is>
          <t>Föryngringsavverkning</t>
        </is>
      </c>
      <c r="D142" s="1" t="n">
        <v>45273</v>
      </c>
      <c r="E142" s="1" t="n">
        <v>46322</v>
      </c>
      <c r="F142" t="inlineStr">
        <is>
          <t>JÖNKÖPINGS LÄN</t>
        </is>
      </c>
      <c r="G142" t="inlineStr">
        <is>
          <t>NÄSSJÖ</t>
        </is>
      </c>
      <c r="I142" t="n">
        <v>0.6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s="2" t="inlineStr"/>
    </row>
    <row r="143" ht="15" customHeight="1">
      <c r="A143" t="inlineStr">
        <is>
          <t>A 63742-2023</t>
        </is>
      </c>
      <c r="B143" t="inlineStr">
        <is>
          <t>avverkningsanmälan</t>
        </is>
      </c>
      <c r="C143" t="inlineStr">
        <is>
          <t>Föryngringsavverkning</t>
        </is>
      </c>
      <c r="D143" s="1" t="n">
        <v>45277</v>
      </c>
      <c r="E143" s="1" t="n">
        <v>46322</v>
      </c>
      <c r="F143" t="inlineStr">
        <is>
          <t>JÖNKÖPINGS LÄN</t>
        </is>
      </c>
      <c r="G143" t="inlineStr">
        <is>
          <t>NÄSSJÖ</t>
        </is>
      </c>
      <c r="I143" t="n">
        <v>3.5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s="2" t="inlineStr"/>
    </row>
    <row r="144" ht="15" customHeight="1">
      <c r="A144" t="inlineStr">
        <is>
          <t>A 39252-2023</t>
        </is>
      </c>
      <c r="B144" t="inlineStr">
        <is>
          <t>avverkningsanmälan</t>
        </is>
      </c>
      <c r="C144" t="inlineStr">
        <is>
          <t>Föryngringsavverkning</t>
        </is>
      </c>
      <c r="D144" s="1" t="n">
        <v>45166</v>
      </c>
      <c r="E144" s="1" t="n">
        <v>46322</v>
      </c>
      <c r="F144" t="inlineStr">
        <is>
          <t>JÖNKÖPINGS LÄN</t>
        </is>
      </c>
      <c r="G144" t="inlineStr">
        <is>
          <t>NÄSSJÖ</t>
        </is>
      </c>
      <c r="I144" t="n">
        <v>0.5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s="2" t="inlineStr"/>
    </row>
    <row r="145" ht="15" customHeight="1">
      <c r="A145" t="inlineStr">
        <is>
          <t>A 55592-2023</t>
        </is>
      </c>
      <c r="B145" t="inlineStr">
        <is>
          <t>avverkningsanmälan</t>
        </is>
      </c>
      <c r="C145" t="inlineStr">
        <is>
          <t>Föryngringsavverkning</t>
        </is>
      </c>
      <c r="D145" s="1" t="n">
        <v>45238</v>
      </c>
      <c r="E145" s="1" t="n">
        <v>46322</v>
      </c>
      <c r="F145" t="inlineStr">
        <is>
          <t>JÖNKÖPINGS LÄN</t>
        </is>
      </c>
      <c r="G145" t="inlineStr">
        <is>
          <t>NÄSSJÖ</t>
        </is>
      </c>
      <c r="I145" t="n">
        <v>2.4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s="2" t="inlineStr"/>
    </row>
    <row r="146" ht="15" customHeight="1">
      <c r="A146" t="inlineStr">
        <is>
          <t>A 47884-2023</t>
        </is>
      </c>
      <c r="B146" t="inlineStr">
        <is>
          <t>avverkningsanmälan</t>
        </is>
      </c>
      <c r="C146" t="inlineStr">
        <is>
          <t>Föryngringsavverkning</t>
        </is>
      </c>
      <c r="D146" s="1" t="n">
        <v>45204</v>
      </c>
      <c r="E146" s="1" t="n">
        <v>46322</v>
      </c>
      <c r="F146" t="inlineStr">
        <is>
          <t>JÖNKÖPINGS LÄN</t>
        </is>
      </c>
      <c r="G146" t="inlineStr">
        <is>
          <t>NÄSSJÖ</t>
        </is>
      </c>
      <c r="I146" t="n">
        <v>3.1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s="2" t="inlineStr"/>
    </row>
    <row r="147" ht="15" customHeight="1">
      <c r="A147" t="inlineStr">
        <is>
          <t>A 16775-2023</t>
        </is>
      </c>
      <c r="B147" t="inlineStr">
        <is>
          <t>avverkningsanmälan</t>
        </is>
      </c>
      <c r="C147" t="inlineStr">
        <is>
          <t>Föryngringsavverkning</t>
        </is>
      </c>
      <c r="D147" s="1" t="n">
        <v>45031</v>
      </c>
      <c r="E147" s="1" t="n">
        <v>46322</v>
      </c>
      <c r="F147" t="inlineStr">
        <is>
          <t>JÖNKÖPINGS LÄN</t>
        </is>
      </c>
      <c r="G147" t="inlineStr">
        <is>
          <t>NÄSSJÖ</t>
        </is>
      </c>
      <c r="I147" t="n">
        <v>0.5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s="2" t="inlineStr"/>
    </row>
    <row r="148" ht="15" customHeight="1">
      <c r="A148" t="inlineStr">
        <is>
          <t>A 30412-2023</t>
        </is>
      </c>
      <c r="B148" t="inlineStr">
        <is>
          <t>avverkningsanmälan</t>
        </is>
      </c>
      <c r="C148" t="inlineStr">
        <is>
          <t>Föryngringsavverkning</t>
        </is>
      </c>
      <c r="D148" s="1" t="n">
        <v>45111</v>
      </c>
      <c r="E148" s="1" t="n">
        <v>46322</v>
      </c>
      <c r="F148" t="inlineStr">
        <is>
          <t>JÖNKÖPINGS LÄN</t>
        </is>
      </c>
      <c r="G148" t="inlineStr">
        <is>
          <t>NÄSSJÖ</t>
        </is>
      </c>
      <c r="I148" t="n">
        <v>2.6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s="2" t="inlineStr"/>
    </row>
    <row r="149" ht="15" customHeight="1">
      <c r="A149" t="inlineStr">
        <is>
          <t>A 12973-2025</t>
        </is>
      </c>
      <c r="B149" t="inlineStr">
        <is>
          <t>avverkningsanmälan</t>
        </is>
      </c>
      <c r="C149" t="inlineStr">
        <is>
          <t>Föryngringsavverkning</t>
        </is>
      </c>
      <c r="D149" s="1" t="n">
        <v>45734</v>
      </c>
      <c r="E149" s="1" t="n">
        <v>46322</v>
      </c>
      <c r="F149" t="inlineStr">
        <is>
          <t>JÖNKÖPINGS LÄN</t>
        </is>
      </c>
      <c r="G149" t="inlineStr">
        <is>
          <t>NÄSSJÖ</t>
        </is>
      </c>
      <c r="I149" t="n">
        <v>1.8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s="2" t="inlineStr"/>
    </row>
    <row r="150" ht="15" customHeight="1">
      <c r="A150" t="inlineStr">
        <is>
          <t>A 50815-2022</t>
        </is>
      </c>
      <c r="B150" t="inlineStr">
        <is>
          <t>avverkningsanmälan</t>
        </is>
      </c>
      <c r="C150" t="inlineStr">
        <is>
          <t>Föryngringsavverkning</t>
        </is>
      </c>
      <c r="D150" s="1" t="n">
        <v>44867</v>
      </c>
      <c r="E150" s="1" t="n">
        <v>46322</v>
      </c>
      <c r="F150" t="inlineStr">
        <is>
          <t>JÖNKÖPINGS LÄN</t>
        </is>
      </c>
      <c r="G150" t="inlineStr">
        <is>
          <t>NÄSSJÖ</t>
        </is>
      </c>
      <c r="I150" t="n">
        <v>0.4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s="2" t="inlineStr"/>
    </row>
    <row r="151" ht="15" customHeight="1">
      <c r="A151" t="inlineStr">
        <is>
          <t>A 39582-2023</t>
        </is>
      </c>
      <c r="B151" t="inlineStr">
        <is>
          <t>avverkningsanmälan</t>
        </is>
      </c>
      <c r="C151" t="inlineStr">
        <is>
          <t>Föryngringsavverkning</t>
        </is>
      </c>
      <c r="D151" s="1" t="n">
        <v>45163</v>
      </c>
      <c r="E151" s="1" t="n">
        <v>46322</v>
      </c>
      <c r="F151" t="inlineStr">
        <is>
          <t>JÖNKÖPINGS LÄN</t>
        </is>
      </c>
      <c r="G151" t="inlineStr">
        <is>
          <t>NÄSSJÖ</t>
        </is>
      </c>
      <c r="I151" t="n">
        <v>0.6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s="2" t="inlineStr"/>
    </row>
    <row r="152" ht="15" customHeight="1">
      <c r="A152" t="inlineStr">
        <is>
          <t>A 7140-2022</t>
        </is>
      </c>
      <c r="B152" t="inlineStr">
        <is>
          <t>avverkningsanmälan</t>
        </is>
      </c>
      <c r="C152" t="inlineStr">
        <is>
          <t>Föryngringsavverkning</t>
        </is>
      </c>
      <c r="D152" s="1" t="n">
        <v>44603</v>
      </c>
      <c r="E152" s="1" t="n">
        <v>46322</v>
      </c>
      <c r="F152" t="inlineStr">
        <is>
          <t>JÖNKÖPINGS LÄN</t>
        </is>
      </c>
      <c r="G152" t="inlineStr">
        <is>
          <t>NÄSSJÖ</t>
        </is>
      </c>
      <c r="I152" t="n">
        <v>0.9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s="2" t="inlineStr"/>
    </row>
    <row r="153" ht="15" customHeight="1">
      <c r="A153" t="inlineStr">
        <is>
          <t>A 38615-2023</t>
        </is>
      </c>
      <c r="B153" t="inlineStr">
        <is>
          <t>avverkningsanmälan</t>
        </is>
      </c>
      <c r="C153" t="inlineStr">
        <is>
          <t>Föryngringsavverkning</t>
        </is>
      </c>
      <c r="D153" s="1" t="n">
        <v>45162</v>
      </c>
      <c r="E153" s="1" t="n">
        <v>46322</v>
      </c>
      <c r="F153" t="inlineStr">
        <is>
          <t>JÖNKÖPINGS LÄN</t>
        </is>
      </c>
      <c r="G153" t="inlineStr">
        <is>
          <t>NÄSSJÖ</t>
        </is>
      </c>
      <c r="I153" t="n">
        <v>4.5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s="2" t="inlineStr"/>
    </row>
    <row r="154" ht="15" customHeight="1">
      <c r="A154" t="inlineStr">
        <is>
          <t>A 1688-2024</t>
        </is>
      </c>
      <c r="B154" t="inlineStr">
        <is>
          <t>avverkningsanmälan</t>
        </is>
      </c>
      <c r="C154" t="inlineStr">
        <is>
          <t>Föryngringsavverkning</t>
        </is>
      </c>
      <c r="D154" s="1" t="n">
        <v>45307</v>
      </c>
      <c r="E154" s="1" t="n">
        <v>46322</v>
      </c>
      <c r="F154" t="inlineStr">
        <is>
          <t>JÖNKÖPINGS LÄN</t>
        </is>
      </c>
      <c r="G154" t="inlineStr">
        <is>
          <t>NÄSSJÖ</t>
        </is>
      </c>
      <c r="I154" t="n">
        <v>2.7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s="2" t="inlineStr"/>
    </row>
    <row r="155" ht="15" customHeight="1">
      <c r="A155" t="inlineStr">
        <is>
          <t>A 12657-2024</t>
        </is>
      </c>
      <c r="B155" t="inlineStr">
        <is>
          <t>avverkningsanmälan</t>
        </is>
      </c>
      <c r="C155" t="inlineStr">
        <is>
          <t>Föryngringsavverkning</t>
        </is>
      </c>
      <c r="D155" s="1" t="n">
        <v>45380</v>
      </c>
      <c r="E155" s="1" t="n">
        <v>46322</v>
      </c>
      <c r="F155" t="inlineStr">
        <is>
          <t>JÖNKÖPINGS LÄN</t>
        </is>
      </c>
      <c r="G155" t="inlineStr">
        <is>
          <t>NÄSSJÖ</t>
        </is>
      </c>
      <c r="I155" t="n">
        <v>1.4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s="2" t="inlineStr"/>
    </row>
    <row r="156" ht="15" customHeight="1">
      <c r="A156" t="inlineStr">
        <is>
          <t>A 63635-2023</t>
        </is>
      </c>
      <c r="B156" t="inlineStr">
        <is>
          <t>avverkningsanmälan</t>
        </is>
      </c>
      <c r="C156" t="inlineStr">
        <is>
          <t>Föryngringsavverkning</t>
        </is>
      </c>
      <c r="D156" s="1" t="n">
        <v>45275</v>
      </c>
      <c r="E156" s="1" t="n">
        <v>46322</v>
      </c>
      <c r="F156" t="inlineStr">
        <is>
          <t>JÖNKÖPINGS LÄN</t>
        </is>
      </c>
      <c r="G156" t="inlineStr">
        <is>
          <t>NÄSSJÖ</t>
        </is>
      </c>
      <c r="I156" t="n">
        <v>3.4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s="2" t="inlineStr"/>
    </row>
    <row r="157" ht="15" customHeight="1">
      <c r="A157" t="inlineStr">
        <is>
          <t>A 55605-2023</t>
        </is>
      </c>
      <c r="B157" t="inlineStr">
        <is>
          <t>avverkningsanmälan</t>
        </is>
      </c>
      <c r="C157" t="inlineStr">
        <is>
          <t>Föryngringsavverkning</t>
        </is>
      </c>
      <c r="D157" s="1" t="n">
        <v>45238</v>
      </c>
      <c r="E157" s="1" t="n">
        <v>46322</v>
      </c>
      <c r="F157" t="inlineStr">
        <is>
          <t>JÖNKÖPINGS LÄN</t>
        </is>
      </c>
      <c r="G157" t="inlineStr">
        <is>
          <t>NÄSSJÖ</t>
        </is>
      </c>
      <c r="I157" t="n">
        <v>2.7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s="2" t="inlineStr"/>
    </row>
    <row r="158" ht="15" customHeight="1">
      <c r="A158" t="inlineStr">
        <is>
          <t>A 3259-2024</t>
        </is>
      </c>
      <c r="B158" t="inlineStr">
        <is>
          <t>avverkningsanmälan</t>
        </is>
      </c>
      <c r="C158" t="inlineStr">
        <is>
          <t>Föryngringsavverkning</t>
        </is>
      </c>
      <c r="D158" s="1" t="n">
        <v>45316</v>
      </c>
      <c r="E158" s="1" t="n">
        <v>46322</v>
      </c>
      <c r="F158" t="inlineStr">
        <is>
          <t>JÖNKÖPINGS LÄN</t>
        </is>
      </c>
      <c r="G158" t="inlineStr">
        <is>
          <t>NÄSSJÖ</t>
        </is>
      </c>
      <c r="H158" t="inlineStr">
        <is>
          <t>Kyrkan</t>
        </is>
      </c>
      <c r="I158" t="n">
        <v>4.6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s="2" t="inlineStr"/>
    </row>
    <row r="159" ht="15" customHeight="1">
      <c r="A159" t="inlineStr">
        <is>
          <t>A 27081-2026</t>
        </is>
      </c>
      <c r="B159" t="inlineStr">
        <is>
          <t>avverkningsanmälan</t>
        </is>
      </c>
      <c r="C159" t="inlineStr">
        <is>
          <t>Föryngringsavverkning</t>
        </is>
      </c>
      <c r="D159" s="1" t="n">
        <v>46187</v>
      </c>
      <c r="E159" s="1" t="n">
        <v>46322</v>
      </c>
      <c r="F159" t="inlineStr">
        <is>
          <t>JÖNKÖPINGS LÄN</t>
        </is>
      </c>
      <c r="G159" t="inlineStr">
        <is>
          <t>NÄSSJÖ</t>
        </is>
      </c>
      <c r="I159" t="n">
        <v>2.6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s="2" t="inlineStr"/>
    </row>
    <row r="160" ht="15" customHeight="1">
      <c r="A160" t="inlineStr">
        <is>
          <t>A 58533-2022</t>
        </is>
      </c>
      <c r="B160" t="inlineStr">
        <is>
          <t>avverkningsanmälan</t>
        </is>
      </c>
      <c r="C160" t="inlineStr">
        <is>
          <t>Föryngringsavverkning</t>
        </is>
      </c>
      <c r="D160" s="1" t="n">
        <v>44902</v>
      </c>
      <c r="E160" s="1" t="n">
        <v>46322</v>
      </c>
      <c r="F160" t="inlineStr">
        <is>
          <t>JÖNKÖPINGS LÄN</t>
        </is>
      </c>
      <c r="G160" t="inlineStr">
        <is>
          <t>NÄSSJÖ</t>
        </is>
      </c>
      <c r="I160" t="n">
        <v>2.8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s="2" t="inlineStr"/>
    </row>
    <row r="161" ht="15" customHeight="1">
      <c r="A161" t="inlineStr">
        <is>
          <t>A 58553-2022</t>
        </is>
      </c>
      <c r="B161" t="inlineStr">
        <is>
          <t>avverkningsanmälan</t>
        </is>
      </c>
      <c r="C161" t="inlineStr">
        <is>
          <t>Föryngringsavverkning</t>
        </is>
      </c>
      <c r="D161" s="1" t="n">
        <v>44902</v>
      </c>
      <c r="E161" s="1" t="n">
        <v>46322</v>
      </c>
      <c r="F161" t="inlineStr">
        <is>
          <t>JÖNKÖPINGS LÄN</t>
        </is>
      </c>
      <c r="G161" t="inlineStr">
        <is>
          <t>NÄSSJÖ</t>
        </is>
      </c>
      <c r="I161" t="n">
        <v>0.8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s="2" t="inlineStr"/>
    </row>
    <row r="162" ht="15" customHeight="1">
      <c r="A162" t="inlineStr">
        <is>
          <t>A 14656-2023</t>
        </is>
      </c>
      <c r="B162" t="inlineStr">
        <is>
          <t>avverkningsanmälan</t>
        </is>
      </c>
      <c r="C162" t="inlineStr">
        <is>
          <t>Föryngringsavverkning</t>
        </is>
      </c>
      <c r="D162" s="1" t="n">
        <v>45013</v>
      </c>
      <c r="E162" s="1" t="n">
        <v>46322</v>
      </c>
      <c r="F162" t="inlineStr">
        <is>
          <t>JÖNKÖPINGS LÄN</t>
        </is>
      </c>
      <c r="G162" t="inlineStr">
        <is>
          <t>NÄSSJÖ</t>
        </is>
      </c>
      <c r="I162" t="n">
        <v>0.5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s="2" t="inlineStr"/>
    </row>
    <row r="163" ht="15" customHeight="1">
      <c r="A163" t="inlineStr">
        <is>
          <t>A 49972-2025</t>
        </is>
      </c>
      <c r="B163" t="inlineStr">
        <is>
          <t>avverkningsanmälan</t>
        </is>
      </c>
      <c r="C163" t="inlineStr">
        <is>
          <t>Föryngringsavverkning</t>
        </is>
      </c>
      <c r="D163" s="1" t="n">
        <v>45942</v>
      </c>
      <c r="E163" s="1" t="n">
        <v>46322</v>
      </c>
      <c r="F163" t="inlineStr">
        <is>
          <t>JÖNKÖPINGS LÄN</t>
        </is>
      </c>
      <c r="G163" t="inlineStr">
        <is>
          <t>NÄSSJÖ</t>
        </is>
      </c>
      <c r="I163" t="n">
        <v>1.9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s="2" t="inlineStr"/>
    </row>
    <row r="164" ht="15" customHeight="1">
      <c r="A164" t="inlineStr">
        <is>
          <t>A 50219-2025</t>
        </is>
      </c>
      <c r="B164" t="inlineStr">
        <is>
          <t>avverkningsanmälan</t>
        </is>
      </c>
      <c r="C164" t="inlineStr">
        <is>
          <t>Avverkning för annat ändamål</t>
        </is>
      </c>
      <c r="D164" s="1" t="n">
        <v>45943</v>
      </c>
      <c r="E164" s="1" t="n">
        <v>46322</v>
      </c>
      <c r="F164" t="inlineStr">
        <is>
          <t>JÖNKÖPINGS LÄN</t>
        </is>
      </c>
      <c r="G164" t="inlineStr">
        <is>
          <t>NÄSSJÖ</t>
        </is>
      </c>
      <c r="I164" t="n">
        <v>4.1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s="2" t="inlineStr"/>
    </row>
    <row r="165" ht="15" customHeight="1">
      <c r="A165" t="inlineStr">
        <is>
          <t>A 50220-2025</t>
        </is>
      </c>
      <c r="B165" t="inlineStr">
        <is>
          <t>avverkningsanmälan</t>
        </is>
      </c>
      <c r="C165" t="inlineStr">
        <is>
          <t>Föryngringsavverkning</t>
        </is>
      </c>
      <c r="D165" s="1" t="n">
        <v>45943</v>
      </c>
      <c r="E165" s="1" t="n">
        <v>46322</v>
      </c>
      <c r="F165" t="inlineStr">
        <is>
          <t>JÖNKÖPINGS LÄN</t>
        </is>
      </c>
      <c r="G165" t="inlineStr">
        <is>
          <t>NÄSSJÖ</t>
        </is>
      </c>
      <c r="I165" t="n">
        <v>1.1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s="2" t="inlineStr"/>
    </row>
    <row r="166" ht="15" customHeight="1">
      <c r="A166" t="inlineStr">
        <is>
          <t>A 30001-2023</t>
        </is>
      </c>
      <c r="B166" t="inlineStr">
        <is>
          <t>avverkningsanmälan</t>
        </is>
      </c>
      <c r="C166" t="inlineStr">
        <is>
          <t>Föryngringsavverkning</t>
        </is>
      </c>
      <c r="D166" s="1" t="n">
        <v>45109</v>
      </c>
      <c r="E166" s="1" t="n">
        <v>46322</v>
      </c>
      <c r="F166" t="inlineStr">
        <is>
          <t>JÖNKÖPINGS LÄN</t>
        </is>
      </c>
      <c r="G166" t="inlineStr">
        <is>
          <t>NÄSSJÖ</t>
        </is>
      </c>
      <c r="I166" t="n">
        <v>0.9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s="2" t="inlineStr"/>
    </row>
    <row r="167" ht="15" customHeight="1">
      <c r="A167" t="inlineStr">
        <is>
          <t>A 50734-2024</t>
        </is>
      </c>
      <c r="B167" t="inlineStr">
        <is>
          <t>avverkningsanmälan</t>
        </is>
      </c>
      <c r="C167" t="inlineStr">
        <is>
          <t>Föryngringsavverkning</t>
        </is>
      </c>
      <c r="D167" s="1" t="n">
        <v>45602</v>
      </c>
      <c r="E167" s="1" t="n">
        <v>46322</v>
      </c>
      <c r="F167" t="inlineStr">
        <is>
          <t>JÖNKÖPINGS LÄN</t>
        </is>
      </c>
      <c r="G167" t="inlineStr">
        <is>
          <t>NÄSSJÖ</t>
        </is>
      </c>
      <c r="I167" t="n">
        <v>2.2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s="2" t="inlineStr"/>
    </row>
    <row r="168" ht="15" customHeight="1">
      <c r="A168" t="inlineStr">
        <is>
          <t>A 4327-2025</t>
        </is>
      </c>
      <c r="B168" t="inlineStr">
        <is>
          <t>avverkningsanmälan</t>
        </is>
      </c>
      <c r="C168" t="inlineStr">
        <is>
          <t>Föryngringsavverkning</t>
        </is>
      </c>
      <c r="D168" s="1" t="n">
        <v>45685</v>
      </c>
      <c r="E168" s="1" t="n">
        <v>46322</v>
      </c>
      <c r="F168" t="inlineStr">
        <is>
          <t>JÖNKÖPINGS LÄN</t>
        </is>
      </c>
      <c r="G168" t="inlineStr">
        <is>
          <t>NÄSSJÖ</t>
        </is>
      </c>
      <c r="I168" t="n">
        <v>2.4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s="2" t="inlineStr"/>
    </row>
    <row r="169" ht="15" customHeight="1">
      <c r="A169" t="inlineStr">
        <is>
          <t>A 31172-2024</t>
        </is>
      </c>
      <c r="B169" t="inlineStr">
        <is>
          <t>avverkningsanmälan</t>
        </is>
      </c>
      <c r="C169" t="inlineStr">
        <is>
          <t>Avverkning för annat ändamål</t>
        </is>
      </c>
      <c r="D169" s="1" t="n">
        <v>45503</v>
      </c>
      <c r="E169" s="1" t="n">
        <v>46322</v>
      </c>
      <c r="F169" t="inlineStr">
        <is>
          <t>JÖNKÖPINGS LÄN</t>
        </is>
      </c>
      <c r="G169" t="inlineStr">
        <is>
          <t>NÄSSJÖ</t>
        </is>
      </c>
      <c r="I169" t="n">
        <v>0.7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s="2" t="inlineStr"/>
    </row>
    <row r="170" ht="15" customHeight="1">
      <c r="A170" t="inlineStr">
        <is>
          <t>A 50439-2025</t>
        </is>
      </c>
      <c r="B170" t="inlineStr">
        <is>
          <t>avverkningsanmälan</t>
        </is>
      </c>
      <c r="C170" t="inlineStr">
        <is>
          <t>Avverkning för annat ändamål</t>
        </is>
      </c>
      <c r="D170" s="1" t="n">
        <v>45944</v>
      </c>
      <c r="E170" s="1" t="n">
        <v>46322</v>
      </c>
      <c r="F170" t="inlineStr">
        <is>
          <t>JÖNKÖPINGS LÄN</t>
        </is>
      </c>
      <c r="G170" t="inlineStr">
        <is>
          <t>NÄSSJÖ</t>
        </is>
      </c>
      <c r="I170" t="n">
        <v>0.9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s="2" t="inlineStr"/>
    </row>
    <row r="171" ht="15" customHeight="1">
      <c r="A171" t="inlineStr">
        <is>
          <t>A 27536-2026</t>
        </is>
      </c>
      <c r="B171" t="inlineStr">
        <is>
          <t>avverkningsanmälan</t>
        </is>
      </c>
      <c r="C171" t="inlineStr">
        <is>
          <t>Föryngringsavverkning</t>
        </is>
      </c>
      <c r="D171" s="1" t="n">
        <v>46190</v>
      </c>
      <c r="E171" s="1" t="n">
        <v>46322</v>
      </c>
      <c r="F171" t="inlineStr">
        <is>
          <t>JÖNKÖPINGS LÄN</t>
        </is>
      </c>
      <c r="G171" t="inlineStr">
        <is>
          <t>NÄSSJÖ</t>
        </is>
      </c>
      <c r="I171" t="n">
        <v>2.1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s="2" t="inlineStr"/>
    </row>
    <row r="172" ht="15" customHeight="1">
      <c r="A172" t="inlineStr">
        <is>
          <t>A 7145-2025</t>
        </is>
      </c>
      <c r="B172" t="inlineStr">
        <is>
          <t>avverkningsanmälan</t>
        </is>
      </c>
      <c r="C172" t="inlineStr">
        <is>
          <t>Föryngringsavverkning</t>
        </is>
      </c>
      <c r="D172" s="1" t="n">
        <v>45702</v>
      </c>
      <c r="E172" s="1" t="n">
        <v>46322</v>
      </c>
      <c r="F172" t="inlineStr">
        <is>
          <t>JÖNKÖPINGS LÄN</t>
        </is>
      </c>
      <c r="G172" t="inlineStr">
        <is>
          <t>NÄSSJÖ</t>
        </is>
      </c>
      <c r="I172" t="n">
        <v>1.5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s="2" t="inlineStr"/>
    </row>
    <row r="173" ht="15" customHeight="1">
      <c r="A173" t="inlineStr">
        <is>
          <t>A 7158-2025</t>
        </is>
      </c>
      <c r="B173" t="inlineStr">
        <is>
          <t>avverkningsanmälan</t>
        </is>
      </c>
      <c r="C173" t="inlineStr">
        <is>
          <t>Föryngringsavverkning</t>
        </is>
      </c>
      <c r="D173" s="1" t="n">
        <v>45702</v>
      </c>
      <c r="E173" s="1" t="n">
        <v>46322</v>
      </c>
      <c r="F173" t="inlineStr">
        <is>
          <t>JÖNKÖPINGS LÄN</t>
        </is>
      </c>
      <c r="G173" t="inlineStr">
        <is>
          <t>NÄSSJÖ</t>
        </is>
      </c>
      <c r="I173" t="n">
        <v>2.8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s="2" t="inlineStr"/>
    </row>
    <row r="174" ht="15" customHeight="1">
      <c r="A174" t="inlineStr">
        <is>
          <t>A 4699-2024</t>
        </is>
      </c>
      <c r="B174" t="inlineStr">
        <is>
          <t>avverkningsanmälan</t>
        </is>
      </c>
      <c r="C174" t="inlineStr">
        <is>
          <t>Föryngringsavverkning</t>
        </is>
      </c>
      <c r="D174" s="1" t="n">
        <v>45328</v>
      </c>
      <c r="E174" s="1" t="n">
        <v>46322</v>
      </c>
      <c r="F174" t="inlineStr">
        <is>
          <t>JÖNKÖPINGS LÄN</t>
        </is>
      </c>
      <c r="G174" t="inlineStr">
        <is>
          <t>NÄSSJÖ</t>
        </is>
      </c>
      <c r="I174" t="n">
        <v>0.5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s="2" t="inlineStr"/>
    </row>
    <row r="175" ht="15" customHeight="1">
      <c r="A175" t="inlineStr">
        <is>
          <t>A 2988-2023</t>
        </is>
      </c>
      <c r="B175" t="inlineStr">
        <is>
          <t>avverkningsanmälan</t>
        </is>
      </c>
      <c r="C175" t="inlineStr">
        <is>
          <t>Föryngringsavverkning</t>
        </is>
      </c>
      <c r="D175" s="1" t="n">
        <v>44945</v>
      </c>
      <c r="E175" s="1" t="n">
        <v>46322</v>
      </c>
      <c r="F175" t="inlineStr">
        <is>
          <t>JÖNKÖPINGS LÄN</t>
        </is>
      </c>
      <c r="G175" t="inlineStr">
        <is>
          <t>NÄSSJÖ</t>
        </is>
      </c>
      <c r="I175" t="n">
        <v>0.7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s="2" t="inlineStr"/>
    </row>
    <row r="176" ht="15" customHeight="1">
      <c r="A176" t="inlineStr">
        <is>
          <t>A 4633-2024</t>
        </is>
      </c>
      <c r="B176" t="inlineStr">
        <is>
          <t>avverkningsanmälan</t>
        </is>
      </c>
      <c r="C176" t="inlineStr">
        <is>
          <t>Föryngringsavverkning</t>
        </is>
      </c>
      <c r="D176" s="1" t="n">
        <v>45328</v>
      </c>
      <c r="E176" s="1" t="n">
        <v>46322</v>
      </c>
      <c r="F176" t="inlineStr">
        <is>
          <t>JÖNKÖPINGS LÄN</t>
        </is>
      </c>
      <c r="G176" t="inlineStr">
        <is>
          <t>NÄSSJÖ</t>
        </is>
      </c>
      <c r="I176" t="n">
        <v>0.4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s="2" t="inlineStr"/>
    </row>
    <row r="177" ht="15" customHeight="1">
      <c r="A177" t="inlineStr">
        <is>
          <t>A 59167-2024</t>
        </is>
      </c>
      <c r="B177" t="inlineStr">
        <is>
          <t>avverkningsanmälan</t>
        </is>
      </c>
      <c r="C177" t="inlineStr">
        <is>
          <t>Föryngringsavverkning</t>
        </is>
      </c>
      <c r="D177" s="1" t="n">
        <v>45637</v>
      </c>
      <c r="E177" s="1" t="n">
        <v>46322</v>
      </c>
      <c r="F177" t="inlineStr">
        <is>
          <t>JÖNKÖPINGS LÄN</t>
        </is>
      </c>
      <c r="G177" t="inlineStr">
        <is>
          <t>NÄSSJÖ</t>
        </is>
      </c>
      <c r="I177" t="n">
        <v>2.6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s="2" t="inlineStr"/>
    </row>
    <row r="178" ht="15" customHeight="1">
      <c r="A178" t="inlineStr">
        <is>
          <t>A 6402-2023</t>
        </is>
      </c>
      <c r="B178" t="inlineStr">
        <is>
          <t>avverkningsanmälan</t>
        </is>
      </c>
      <c r="C178" t="inlineStr">
        <is>
          <t>Föryngringsavverkning</t>
        </is>
      </c>
      <c r="D178" s="1" t="n">
        <v>44965</v>
      </c>
      <c r="E178" s="1" t="n">
        <v>46322</v>
      </c>
      <c r="F178" t="inlineStr">
        <is>
          <t>JÖNKÖPINGS LÄN</t>
        </is>
      </c>
      <c r="G178" t="inlineStr">
        <is>
          <t>NÄSSJÖ</t>
        </is>
      </c>
      <c r="I178" t="n">
        <v>1.1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s="2" t="inlineStr"/>
    </row>
    <row r="179" ht="15" customHeight="1">
      <c r="A179" t="inlineStr">
        <is>
          <t>A 51863-2025</t>
        </is>
      </c>
      <c r="B179" t="inlineStr">
        <is>
          <t>avverkningsanmälan</t>
        </is>
      </c>
      <c r="C179" t="inlineStr">
        <is>
          <t>Föryngringsavverkning</t>
        </is>
      </c>
      <c r="D179" s="1" t="n">
        <v>45951</v>
      </c>
      <c r="E179" s="1" t="n">
        <v>46322</v>
      </c>
      <c r="F179" t="inlineStr">
        <is>
          <t>JÖNKÖPINGS LÄN</t>
        </is>
      </c>
      <c r="G179" t="inlineStr">
        <is>
          <t>NÄSSJÖ</t>
        </is>
      </c>
      <c r="I179" t="n">
        <v>0.5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s="2" t="inlineStr"/>
    </row>
    <row r="180" ht="15" customHeight="1">
      <c r="A180" t="inlineStr">
        <is>
          <t>A 39485-2024</t>
        </is>
      </c>
      <c r="B180" t="inlineStr">
        <is>
          <t>avverkningsanmälan</t>
        </is>
      </c>
      <c r="C180" t="inlineStr">
        <is>
          <t>Föryngringsavverkning</t>
        </is>
      </c>
      <c r="D180" s="1" t="n">
        <v>45551</v>
      </c>
      <c r="E180" s="1" t="n">
        <v>46322</v>
      </c>
      <c r="F180" t="inlineStr">
        <is>
          <t>JÖNKÖPINGS LÄN</t>
        </is>
      </c>
      <c r="G180" t="inlineStr">
        <is>
          <t>NÄSSJÖ</t>
        </is>
      </c>
      <c r="I180" t="n">
        <v>3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s="2" t="inlineStr"/>
    </row>
    <row r="181" ht="15" customHeight="1">
      <c r="A181" t="inlineStr">
        <is>
          <t>A 27537-2026</t>
        </is>
      </c>
      <c r="B181" t="inlineStr">
        <is>
          <t>avverkningsanmälan</t>
        </is>
      </c>
      <c r="C181" t="inlineStr">
        <is>
          <t>Föryngringsavverkning</t>
        </is>
      </c>
      <c r="D181" s="1" t="n">
        <v>46190</v>
      </c>
      <c r="E181" s="1" t="n">
        <v>46322</v>
      </c>
      <c r="F181" t="inlineStr">
        <is>
          <t>JÖNKÖPINGS LÄN</t>
        </is>
      </c>
      <c r="G181" t="inlineStr">
        <is>
          <t>NÄSSJÖ</t>
        </is>
      </c>
      <c r="I181" t="n">
        <v>0.5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s="2" t="inlineStr"/>
    </row>
    <row r="182" ht="15" customHeight="1">
      <c r="A182" t="inlineStr">
        <is>
          <t>A 63695-2023</t>
        </is>
      </c>
      <c r="B182" t="inlineStr">
        <is>
          <t>avverkningsanmälan</t>
        </is>
      </c>
      <c r="C182" t="inlineStr">
        <is>
          <t>Föryngringsavverkning</t>
        </is>
      </c>
      <c r="D182" s="1" t="n">
        <v>45275</v>
      </c>
      <c r="E182" s="1" t="n">
        <v>46322</v>
      </c>
      <c r="F182" t="inlineStr">
        <is>
          <t>JÖNKÖPINGS LÄN</t>
        </is>
      </c>
      <c r="G182" t="inlineStr">
        <is>
          <t>NÄSSJÖ</t>
        </is>
      </c>
      <c r="I182" t="n">
        <v>3.5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s="2" t="inlineStr"/>
    </row>
    <row r="183" ht="15" customHeight="1">
      <c r="A183" t="inlineStr">
        <is>
          <t>A 63743-2023</t>
        </is>
      </c>
      <c r="B183" t="inlineStr">
        <is>
          <t>avverkningsanmälan</t>
        </is>
      </c>
      <c r="C183" t="inlineStr">
        <is>
          <t>Föryngringsavverkning</t>
        </is>
      </c>
      <c r="D183" s="1" t="n">
        <v>45277</v>
      </c>
      <c r="E183" s="1" t="n">
        <v>46322</v>
      </c>
      <c r="F183" t="inlineStr">
        <is>
          <t>JÖNKÖPINGS LÄN</t>
        </is>
      </c>
      <c r="G183" t="inlineStr">
        <is>
          <t>NÄSSJÖ</t>
        </is>
      </c>
      <c r="I183" t="n">
        <v>2.2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s="2" t="inlineStr"/>
    </row>
    <row r="184" ht="15" customHeight="1">
      <c r="A184" t="inlineStr">
        <is>
          <t>A 35811-2023</t>
        </is>
      </c>
      <c r="B184" t="inlineStr">
        <is>
          <t>avverkningsanmälan</t>
        </is>
      </c>
      <c r="C184" t="inlineStr">
        <is>
          <t>Avverkning för annat ändamål</t>
        </is>
      </c>
      <c r="D184" s="1" t="n">
        <v>45148</v>
      </c>
      <c r="E184" s="1" t="n">
        <v>46322</v>
      </c>
      <c r="F184" t="inlineStr">
        <is>
          <t>JÖNKÖPINGS LÄN</t>
        </is>
      </c>
      <c r="G184" t="inlineStr">
        <is>
          <t>NÄSSJÖ</t>
        </is>
      </c>
      <c r="I184" t="n">
        <v>0.3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s="2" t="inlineStr"/>
    </row>
    <row r="185" ht="15" customHeight="1">
      <c r="A185" t="inlineStr">
        <is>
          <t>A 52972-2024</t>
        </is>
      </c>
      <c r="B185" t="inlineStr">
        <is>
          <t>avverkningsanmälan</t>
        </is>
      </c>
      <c r="C185" t="inlineStr">
        <is>
          <t>Föryngringsavverkning</t>
        </is>
      </c>
      <c r="D185" s="1" t="n">
        <v>45611</v>
      </c>
      <c r="E185" s="1" t="n">
        <v>46322</v>
      </c>
      <c r="F185" t="inlineStr">
        <is>
          <t>JÖNKÖPINGS LÄN</t>
        </is>
      </c>
      <c r="G185" t="inlineStr">
        <is>
          <t>NÄSSJÖ</t>
        </is>
      </c>
      <c r="I185" t="n">
        <v>2.4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s="2" t="inlineStr"/>
    </row>
    <row r="186" ht="15" customHeight="1">
      <c r="A186" t="inlineStr">
        <is>
          <t>A 60463-2023</t>
        </is>
      </c>
      <c r="B186" t="inlineStr">
        <is>
          <t>avverkningsanmälan</t>
        </is>
      </c>
      <c r="C186" t="inlineStr">
        <is>
          <t>Föryngringsavverkning</t>
        </is>
      </c>
      <c r="D186" s="1" t="n">
        <v>45259</v>
      </c>
      <c r="E186" s="1" t="n">
        <v>46322</v>
      </c>
      <c r="F186" t="inlineStr">
        <is>
          <t>JÖNKÖPINGS LÄN</t>
        </is>
      </c>
      <c r="G186" t="inlineStr">
        <is>
          <t>NÄSSJÖ</t>
        </is>
      </c>
      <c r="I186" t="n">
        <v>1.3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s="2" t="inlineStr"/>
    </row>
    <row r="187" ht="15" customHeight="1">
      <c r="A187" t="inlineStr">
        <is>
          <t>A 20839-2025</t>
        </is>
      </c>
      <c r="B187" t="inlineStr">
        <is>
          <t>avverkningsanmälan</t>
        </is>
      </c>
      <c r="C187" t="inlineStr">
        <is>
          <t>Föryngringsavverkning</t>
        </is>
      </c>
      <c r="D187" s="1" t="n">
        <v>45776</v>
      </c>
      <c r="E187" s="1" t="n">
        <v>46322</v>
      </c>
      <c r="F187" t="inlineStr">
        <is>
          <t>JÖNKÖPINGS LÄN</t>
        </is>
      </c>
      <c r="G187" t="inlineStr">
        <is>
          <t>NÄSSJÖ</t>
        </is>
      </c>
      <c r="I187" t="n">
        <v>5.3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s="2" t="inlineStr"/>
    </row>
    <row r="188" ht="15" customHeight="1">
      <c r="A188" t="inlineStr">
        <is>
          <t>A 53914-2024</t>
        </is>
      </c>
      <c r="B188" t="inlineStr">
        <is>
          <t>avverkningsanmälan</t>
        </is>
      </c>
      <c r="C188" t="inlineStr">
        <is>
          <t>Föryngringsavverkning</t>
        </is>
      </c>
      <c r="D188" s="1" t="n">
        <v>45615</v>
      </c>
      <c r="E188" s="1" t="n">
        <v>46322</v>
      </c>
      <c r="F188" t="inlineStr">
        <is>
          <t>JÖNKÖPINGS LÄN</t>
        </is>
      </c>
      <c r="G188" t="inlineStr">
        <is>
          <t>NÄSSJÖ</t>
        </is>
      </c>
      <c r="I188" t="n">
        <v>4.8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s="2" t="inlineStr"/>
    </row>
    <row r="189" ht="15" customHeight="1">
      <c r="A189" t="inlineStr">
        <is>
          <t>A 21989-2025</t>
        </is>
      </c>
      <c r="B189" t="inlineStr">
        <is>
          <t>avverkningsanmälan</t>
        </is>
      </c>
      <c r="C189" t="inlineStr">
        <is>
          <t>Föryngringsavverkning</t>
        </is>
      </c>
      <c r="D189" s="1" t="n">
        <v>45784</v>
      </c>
      <c r="E189" s="1" t="n">
        <v>46322</v>
      </c>
      <c r="F189" t="inlineStr">
        <is>
          <t>JÖNKÖPINGS LÄN</t>
        </is>
      </c>
      <c r="G189" t="inlineStr">
        <is>
          <t>NÄSSJÖ</t>
        </is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s="2" t="inlineStr"/>
    </row>
    <row r="190" ht="15" customHeight="1">
      <c r="A190" t="inlineStr">
        <is>
          <t>A 21996-2025</t>
        </is>
      </c>
      <c r="B190" t="inlineStr">
        <is>
          <t>avverkningsanmälan</t>
        </is>
      </c>
      <c r="C190" t="inlineStr">
        <is>
          <t>Föryngringsavverkning</t>
        </is>
      </c>
      <c r="D190" s="1" t="n">
        <v>45784</v>
      </c>
      <c r="E190" s="1" t="n">
        <v>46322</v>
      </c>
      <c r="F190" t="inlineStr">
        <is>
          <t>JÖNKÖPINGS LÄN</t>
        </is>
      </c>
      <c r="G190" t="inlineStr">
        <is>
          <t>NÄSSJÖ</t>
        </is>
      </c>
      <c r="I190" t="n">
        <v>0.8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s="2" t="inlineStr"/>
    </row>
    <row r="191" ht="15" customHeight="1">
      <c r="A191" t="inlineStr">
        <is>
          <t>A 29987-2023</t>
        </is>
      </c>
      <c r="B191" t="inlineStr">
        <is>
          <t>avverkningsanmälan</t>
        </is>
      </c>
      <c r="C191" t="inlineStr">
        <is>
          <t>Föryngringsavverkning</t>
        </is>
      </c>
      <c r="D191" s="1" t="n">
        <v>45109</v>
      </c>
      <c r="E191" s="1" t="n">
        <v>46322</v>
      </c>
      <c r="F191" t="inlineStr">
        <is>
          <t>JÖNKÖPINGS LÄN</t>
        </is>
      </c>
      <c r="G191" t="inlineStr">
        <is>
          <t>NÄSSJÖ</t>
        </is>
      </c>
      <c r="I191" t="n">
        <v>0.6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s="2" t="inlineStr"/>
    </row>
    <row r="192" ht="15" customHeight="1">
      <c r="A192" t="inlineStr">
        <is>
          <t>A 29988-2023</t>
        </is>
      </c>
      <c r="B192" t="inlineStr">
        <is>
          <t>avverkningsanmälan</t>
        </is>
      </c>
      <c r="C192" t="inlineStr">
        <is>
          <t>Föryngringsavverkning</t>
        </is>
      </c>
      <c r="D192" s="1" t="n">
        <v>45109</v>
      </c>
      <c r="E192" s="1" t="n">
        <v>46322</v>
      </c>
      <c r="F192" t="inlineStr">
        <is>
          <t>JÖNKÖPINGS LÄN</t>
        </is>
      </c>
      <c r="G192" t="inlineStr">
        <is>
          <t>NÄSSJÖ</t>
        </is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s="2" t="inlineStr"/>
    </row>
    <row r="193" ht="15" customHeight="1">
      <c r="A193" t="inlineStr">
        <is>
          <t>A 5811-2024</t>
        </is>
      </c>
      <c r="B193" t="inlineStr">
        <is>
          <t>avverkningsanmälan</t>
        </is>
      </c>
      <c r="C193" t="inlineStr">
        <is>
          <t>Föryngringsavverkning</t>
        </is>
      </c>
      <c r="D193" s="1" t="n">
        <v>45335</v>
      </c>
      <c r="E193" s="1" t="n">
        <v>46322</v>
      </c>
      <c r="F193" t="inlineStr">
        <is>
          <t>JÖNKÖPINGS LÄN</t>
        </is>
      </c>
      <c r="G193" t="inlineStr">
        <is>
          <t>NÄSSJÖ</t>
        </is>
      </c>
      <c r="I193" t="n">
        <v>1.7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s="2" t="inlineStr"/>
    </row>
    <row r="194" ht="15" customHeight="1">
      <c r="A194" t="inlineStr">
        <is>
          <t>A 5891-2024</t>
        </is>
      </c>
      <c r="B194" t="inlineStr">
        <is>
          <t>avverkningsanmälan</t>
        </is>
      </c>
      <c r="C194" t="inlineStr">
        <is>
          <t>Föryngringsavverkning</t>
        </is>
      </c>
      <c r="D194" s="1" t="n">
        <v>45335</v>
      </c>
      <c r="E194" s="1" t="n">
        <v>46322</v>
      </c>
      <c r="F194" t="inlineStr">
        <is>
          <t>JÖNKÖPINGS LÄN</t>
        </is>
      </c>
      <c r="G194" t="inlineStr">
        <is>
          <t>NÄSSJÖ</t>
        </is>
      </c>
      <c r="I194" t="n">
        <v>0.9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s="2" t="inlineStr"/>
    </row>
    <row r="195" ht="15" customHeight="1">
      <c r="A195" t="inlineStr">
        <is>
          <t>A 50020-2024</t>
        </is>
      </c>
      <c r="B195" t="inlineStr">
        <is>
          <t>avverkningsanmälan</t>
        </is>
      </c>
      <c r="C195" t="inlineStr">
        <is>
          <t>Föryngringsavverkning</t>
        </is>
      </c>
      <c r="D195" s="1" t="n">
        <v>45599</v>
      </c>
      <c r="E195" s="1" t="n">
        <v>46322</v>
      </c>
      <c r="F195" t="inlineStr">
        <is>
          <t>JÖNKÖPINGS LÄN</t>
        </is>
      </c>
      <c r="G195" t="inlineStr">
        <is>
          <t>NÄSSJÖ</t>
        </is>
      </c>
      <c r="I195" t="n">
        <v>1.5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s="2" t="inlineStr"/>
    </row>
    <row r="196" ht="15" customHeight="1">
      <c r="A196" t="inlineStr">
        <is>
          <t>A 44566-2023</t>
        </is>
      </c>
      <c r="B196" t="inlineStr">
        <is>
          <t>avverkningsanmälan</t>
        </is>
      </c>
      <c r="C196" t="inlineStr">
        <is>
          <t>Föryngringsavverkning</t>
        </is>
      </c>
      <c r="D196" s="1" t="n">
        <v>45189</v>
      </c>
      <c r="E196" s="1" t="n">
        <v>46322</v>
      </c>
      <c r="F196" t="inlineStr">
        <is>
          <t>JÖNKÖPINGS LÄN</t>
        </is>
      </c>
      <c r="G196" t="inlineStr">
        <is>
          <t>NÄSSJÖ</t>
        </is>
      </c>
      <c r="I196" t="n">
        <v>11.8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s="2" t="inlineStr"/>
    </row>
    <row r="197" ht="15" customHeight="1">
      <c r="A197" t="inlineStr">
        <is>
          <t>A 56586-2025</t>
        </is>
      </c>
      <c r="B197" t="inlineStr">
        <is>
          <t>avverkningsanmälan</t>
        </is>
      </c>
      <c r="C197" t="inlineStr">
        <is>
          <t>Föryngringsavverkning</t>
        </is>
      </c>
      <c r="D197" s="1" t="n">
        <v>45975</v>
      </c>
      <c r="E197" s="1" t="n">
        <v>46322</v>
      </c>
      <c r="F197" t="inlineStr">
        <is>
          <t>JÖNKÖPINGS LÄN</t>
        </is>
      </c>
      <c r="G197" t="inlineStr">
        <is>
          <t>NÄSSJÖ</t>
        </is>
      </c>
      <c r="I197" t="n">
        <v>0.8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s="2" t="inlineStr"/>
      <c r="Z197">
        <f>HYPERLINK("https://klasma.github.io/Logging_0682/knärot/A 56586-2025 karta knärot.png", "A 56586-2025")</f>
        <v/>
      </c>
      <c r="AA197">
        <f>HYPERLINK("https://klasma.github.io/Logging_0682/klagomål/A 56586-2025 FSC-klagomål.docx", "A 56586-2025")</f>
        <v/>
      </c>
      <c r="AB197">
        <f>HYPERLINK("https://klasma.github.io/Logging_0682/klagomålsmail/A 56586-2025 FSC-klagomål mail.docx", "A 56586-2025")</f>
        <v/>
      </c>
      <c r="AC197">
        <f>HYPERLINK("https://klasma.github.io/Logging_0682/tillsyn/A 56586-2025 tillsynsbegäran.docx", "A 56586-2025")</f>
        <v/>
      </c>
      <c r="AD197">
        <f>HYPERLINK("https://klasma.github.io/Logging_0682/tillsynsmail/A 56586-2025 tillsynsbegäran mail.docx", "A 56586-2025")</f>
        <v/>
      </c>
    </row>
    <row r="198" ht="15" customHeight="1">
      <c r="A198" t="inlineStr">
        <is>
          <t>A 43998-2023</t>
        </is>
      </c>
      <c r="B198" t="inlineStr">
        <is>
          <t>avverkningsanmälan</t>
        </is>
      </c>
      <c r="C198" t="inlineStr">
        <is>
          <t>Föryngringsavverkning</t>
        </is>
      </c>
      <c r="D198" s="1" t="n">
        <v>45188</v>
      </c>
      <c r="E198" s="1" t="n">
        <v>46322</v>
      </c>
      <c r="F198" t="inlineStr">
        <is>
          <t>JÖNKÖPINGS LÄN</t>
        </is>
      </c>
      <c r="G198" t="inlineStr">
        <is>
          <t>NÄSSJÖ</t>
        </is>
      </c>
      <c r="I198" t="n">
        <v>1.3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s="2" t="inlineStr"/>
    </row>
    <row r="199" ht="15" customHeight="1">
      <c r="A199" t="inlineStr">
        <is>
          <t>A 7175-2022</t>
        </is>
      </c>
      <c r="B199" t="inlineStr">
        <is>
          <t>avverkningsanmälan</t>
        </is>
      </c>
      <c r="C199" t="inlineStr">
        <is>
          <t>Avverkning för att bevara och utveckla /försöksver</t>
        </is>
      </c>
      <c r="D199" s="1" t="n">
        <v>44605</v>
      </c>
      <c r="E199" s="1" t="n">
        <v>46322</v>
      </c>
      <c r="F199" t="inlineStr">
        <is>
          <t>JÖNKÖPINGS LÄN</t>
        </is>
      </c>
      <c r="G199" t="inlineStr">
        <is>
          <t>NÄSSJÖ</t>
        </is>
      </c>
      <c r="I199" t="n">
        <v>1.5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s="2" t="inlineStr"/>
    </row>
    <row r="200" ht="15" customHeight="1">
      <c r="A200" t="inlineStr">
        <is>
          <t>A 28298-2026</t>
        </is>
      </c>
      <c r="B200" t="inlineStr">
        <is>
          <t>avverkningsanmälan</t>
        </is>
      </c>
      <c r="C200" t="inlineStr">
        <is>
          <t>Föryngringsavverkning</t>
        </is>
      </c>
      <c r="D200" s="1" t="n">
        <v>46196</v>
      </c>
      <c r="E200" s="1" t="n">
        <v>46322</v>
      </c>
      <c r="F200" t="inlineStr">
        <is>
          <t>JÖNKÖPINGS LÄN</t>
        </is>
      </c>
      <c r="G200" t="inlineStr">
        <is>
          <t>NÄSSJÖ</t>
        </is>
      </c>
      <c r="I200" t="n">
        <v>0.9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s="2" t="inlineStr"/>
    </row>
    <row r="201" ht="15" customHeight="1">
      <c r="A201" t="inlineStr">
        <is>
          <t>A 29836-2024</t>
        </is>
      </c>
      <c r="B201" t="inlineStr">
        <is>
          <t>avverkningsanmälan</t>
        </is>
      </c>
      <c r="C201" t="inlineStr">
        <is>
          <t>Föryngringsavverkning</t>
        </is>
      </c>
      <c r="D201" s="1" t="n">
        <v>45485</v>
      </c>
      <c r="E201" s="1" t="n">
        <v>46322</v>
      </c>
      <c r="F201" t="inlineStr">
        <is>
          <t>JÖNKÖPINGS LÄN</t>
        </is>
      </c>
      <c r="G201" t="inlineStr">
        <is>
          <t>NÄSSJÖ</t>
        </is>
      </c>
      <c r="I201" t="n">
        <v>4.6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s="2" t="inlineStr"/>
    </row>
    <row r="202" ht="15" customHeight="1">
      <c r="A202" t="inlineStr">
        <is>
          <t>A 14654-2023</t>
        </is>
      </c>
      <c r="B202" t="inlineStr">
        <is>
          <t>avverkningsanmälan</t>
        </is>
      </c>
      <c r="C202" t="inlineStr">
        <is>
          <t>Föryngringsavverkning</t>
        </is>
      </c>
      <c r="D202" s="1" t="n">
        <v>45013</v>
      </c>
      <c r="E202" s="1" t="n">
        <v>46322</v>
      </c>
      <c r="F202" t="inlineStr">
        <is>
          <t>JÖNKÖPINGS LÄN</t>
        </is>
      </c>
      <c r="G202" t="inlineStr">
        <is>
          <t>NÄSSJÖ</t>
        </is>
      </c>
      <c r="I202" t="n">
        <v>1.2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s="2" t="inlineStr"/>
    </row>
    <row r="203" ht="15" customHeight="1">
      <c r="A203" t="inlineStr">
        <is>
          <t>A 3362-2024</t>
        </is>
      </c>
      <c r="B203" t="inlineStr">
        <is>
          <t>avverkningsanmälan</t>
        </is>
      </c>
      <c r="C203" t="inlineStr">
        <is>
          <t>Föryngringsavverkning</t>
        </is>
      </c>
      <c r="D203" s="1" t="n">
        <v>45317</v>
      </c>
      <c r="E203" s="1" t="n">
        <v>46322</v>
      </c>
      <c r="F203" t="inlineStr">
        <is>
          <t>JÖNKÖPINGS LÄN</t>
        </is>
      </c>
      <c r="G203" t="inlineStr">
        <is>
          <t>NÄSSJÖ</t>
        </is>
      </c>
      <c r="I203" t="n">
        <v>0.4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s="2" t="inlineStr"/>
    </row>
    <row r="204" ht="15" customHeight="1">
      <c r="A204" t="inlineStr">
        <is>
          <t>A 51314-2024</t>
        </is>
      </c>
      <c r="B204" t="inlineStr">
        <is>
          <t>avverkningsanmälan</t>
        </is>
      </c>
      <c r="C204" t="inlineStr">
        <is>
          <t>Föryngringsavverkning</t>
        </is>
      </c>
      <c r="D204" s="1" t="n">
        <v>45604</v>
      </c>
      <c r="E204" s="1" t="n">
        <v>46322</v>
      </c>
      <c r="F204" t="inlineStr">
        <is>
          <t>JÖNKÖPINGS LÄN</t>
        </is>
      </c>
      <c r="G204" t="inlineStr">
        <is>
          <t>NÄSSJÖ</t>
        </is>
      </c>
      <c r="I204" t="n">
        <v>1.7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s="2" t="inlineStr"/>
    </row>
    <row r="205" ht="15" customHeight="1">
      <c r="A205" t="inlineStr">
        <is>
          <t>A 49662-2023</t>
        </is>
      </c>
      <c r="B205" t="inlineStr">
        <is>
          <t>avverkningsanmälan</t>
        </is>
      </c>
      <c r="C205" t="inlineStr">
        <is>
          <t>Föryngringsavverkning</t>
        </is>
      </c>
      <c r="D205" s="1" t="n">
        <v>45211</v>
      </c>
      <c r="E205" s="1" t="n">
        <v>46322</v>
      </c>
      <c r="F205" t="inlineStr">
        <is>
          <t>JÖNKÖPINGS LÄN</t>
        </is>
      </c>
      <c r="G205" t="inlineStr">
        <is>
          <t>NÄSSJÖ</t>
        </is>
      </c>
      <c r="I205" t="n">
        <v>0.5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s="2" t="inlineStr"/>
    </row>
    <row r="206" ht="15" customHeight="1">
      <c r="A206" t="inlineStr">
        <is>
          <t>A 3647-2024</t>
        </is>
      </c>
      <c r="B206" t="inlineStr">
        <is>
          <t>avverkningsanmälan</t>
        </is>
      </c>
      <c r="C206" t="inlineStr">
        <is>
          <t>Avverkning för annat ändamål</t>
        </is>
      </c>
      <c r="D206" s="1" t="n">
        <v>45320</v>
      </c>
      <c r="E206" s="1" t="n">
        <v>46322</v>
      </c>
      <c r="F206" t="inlineStr">
        <is>
          <t>JÖNKÖPINGS LÄN</t>
        </is>
      </c>
      <c r="G206" t="inlineStr">
        <is>
          <t>NÄSSJÖ</t>
        </is>
      </c>
      <c r="I206" t="n">
        <v>1.4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s="2" t="inlineStr"/>
    </row>
    <row r="207" ht="15" customHeight="1">
      <c r="A207" t="inlineStr">
        <is>
          <t>A 47008-2024</t>
        </is>
      </c>
      <c r="B207" t="inlineStr">
        <is>
          <t>avverkningsanmälan</t>
        </is>
      </c>
      <c r="C207" t="inlineStr">
        <is>
          <t>Föryngringsavverkning</t>
        </is>
      </c>
      <c r="D207" s="1" t="n">
        <v>45586</v>
      </c>
      <c r="E207" s="1" t="n">
        <v>46322</v>
      </c>
      <c r="F207" t="inlineStr">
        <is>
          <t>JÖNKÖPINGS LÄN</t>
        </is>
      </c>
      <c r="G207" t="inlineStr">
        <is>
          <t>NÄSSJÖ</t>
        </is>
      </c>
      <c r="I207" t="n">
        <v>3.2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s="2" t="inlineStr"/>
    </row>
    <row r="208" ht="15" customHeight="1">
      <c r="A208" t="inlineStr">
        <is>
          <t>A 57550-2025</t>
        </is>
      </c>
      <c r="B208" t="inlineStr">
        <is>
          <t>avverkningsanmälan</t>
        </is>
      </c>
      <c r="C208" t="inlineStr">
        <is>
          <t>Föryngringsavverkning</t>
        </is>
      </c>
      <c r="D208" s="1" t="n">
        <v>45980</v>
      </c>
      <c r="E208" s="1" t="n">
        <v>46322</v>
      </c>
      <c r="F208" t="inlineStr">
        <is>
          <t>JÖNKÖPINGS LÄN</t>
        </is>
      </c>
      <c r="G208" t="inlineStr">
        <is>
          <t>NÄSSJÖ</t>
        </is>
      </c>
      <c r="I208" t="n">
        <v>1.9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s="2" t="inlineStr"/>
    </row>
    <row r="209" ht="15" customHeight="1">
      <c r="A209" t="inlineStr">
        <is>
          <t>A 5599-2025</t>
        </is>
      </c>
      <c r="B209" t="inlineStr">
        <is>
          <t>avverkningsanmälan</t>
        </is>
      </c>
      <c r="C209" t="inlineStr">
        <is>
          <t>Föryngringsavverkning</t>
        </is>
      </c>
      <c r="D209" s="1" t="n">
        <v>45693</v>
      </c>
      <c r="E209" s="1" t="n">
        <v>46322</v>
      </c>
      <c r="F209" t="inlineStr">
        <is>
          <t>JÖNKÖPINGS LÄN</t>
        </is>
      </c>
      <c r="G209" t="inlineStr">
        <is>
          <t>NÄSSJÖ</t>
        </is>
      </c>
      <c r="I209" t="n">
        <v>1.6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s="2" t="inlineStr"/>
    </row>
    <row r="210" ht="15" customHeight="1">
      <c r="A210" t="inlineStr">
        <is>
          <t>A 23382-2025</t>
        </is>
      </c>
      <c r="B210" t="inlineStr">
        <is>
          <t>avverkningsanmälan</t>
        </is>
      </c>
      <c r="C210" t="inlineStr">
        <is>
          <t>Föryngringsavverkning</t>
        </is>
      </c>
      <c r="D210" s="1" t="n">
        <v>45791</v>
      </c>
      <c r="E210" s="1" t="n">
        <v>46322</v>
      </c>
      <c r="F210" t="inlineStr">
        <is>
          <t>JÖNKÖPINGS LÄN</t>
        </is>
      </c>
      <c r="G210" t="inlineStr">
        <is>
          <t>NÄSSJÖ</t>
        </is>
      </c>
      <c r="I210" t="n">
        <v>3.5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s="2" t="inlineStr"/>
    </row>
    <row r="211" ht="15" customHeight="1">
      <c r="A211" t="inlineStr">
        <is>
          <t>A 23388-2025</t>
        </is>
      </c>
      <c r="B211" t="inlineStr">
        <is>
          <t>avverkningsanmälan</t>
        </is>
      </c>
      <c r="C211" t="inlineStr">
        <is>
          <t>Föryngringsavverkning</t>
        </is>
      </c>
      <c r="D211" s="1" t="n">
        <v>45791</v>
      </c>
      <c r="E211" s="1" t="n">
        <v>46322</v>
      </c>
      <c r="F211" t="inlineStr">
        <is>
          <t>JÖNKÖPINGS LÄN</t>
        </is>
      </c>
      <c r="G211" t="inlineStr">
        <is>
          <t>NÄSSJÖ</t>
        </is>
      </c>
      <c r="I211" t="n">
        <v>10.4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s="2" t="inlineStr"/>
    </row>
    <row r="212" ht="15" customHeight="1">
      <c r="A212" t="inlineStr">
        <is>
          <t>A 1359-2024</t>
        </is>
      </c>
      <c r="B212" t="inlineStr">
        <is>
          <t>avverkningsanmälan</t>
        </is>
      </c>
      <c r="C212" t="inlineStr">
        <is>
          <t>Föryngringsavverkning</t>
        </is>
      </c>
      <c r="D212" s="1" t="n">
        <v>45303</v>
      </c>
      <c r="E212" s="1" t="n">
        <v>46322</v>
      </c>
      <c r="F212" t="inlineStr">
        <is>
          <t>JÖNKÖPINGS LÄN</t>
        </is>
      </c>
      <c r="G212" t="inlineStr">
        <is>
          <t>NÄSSJÖ</t>
        </is>
      </c>
      <c r="I212" t="n">
        <v>1.2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s="2" t="inlineStr"/>
    </row>
    <row r="213" ht="15" customHeight="1">
      <c r="A213" t="inlineStr">
        <is>
          <t>A 23378-2025</t>
        </is>
      </c>
      <c r="B213" t="inlineStr">
        <is>
          <t>avverkningsanmälan</t>
        </is>
      </c>
      <c r="C213" t="inlineStr">
        <is>
          <t>Föryngringsavverkning</t>
        </is>
      </c>
      <c r="D213" s="1" t="n">
        <v>45791</v>
      </c>
      <c r="E213" s="1" t="n">
        <v>46322</v>
      </c>
      <c r="F213" t="inlineStr">
        <is>
          <t>JÖNKÖPINGS LÄN</t>
        </is>
      </c>
      <c r="G213" t="inlineStr">
        <is>
          <t>NÄSSJÖ</t>
        </is>
      </c>
      <c r="I213" t="n">
        <v>0.5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s="2" t="inlineStr"/>
    </row>
    <row r="214" ht="15" customHeight="1">
      <c r="A214" t="inlineStr">
        <is>
          <t>A 23381-2025</t>
        </is>
      </c>
      <c r="B214" t="inlineStr">
        <is>
          <t>avverkningsanmälan</t>
        </is>
      </c>
      <c r="C214" t="inlineStr">
        <is>
          <t>Föryngringsavverkning</t>
        </is>
      </c>
      <c r="D214" s="1" t="n">
        <v>45791</v>
      </c>
      <c r="E214" s="1" t="n">
        <v>46322</v>
      </c>
      <c r="F214" t="inlineStr">
        <is>
          <t>JÖNKÖPINGS LÄN</t>
        </is>
      </c>
      <c r="G214" t="inlineStr">
        <is>
          <t>NÄSSJÖ</t>
        </is>
      </c>
      <c r="I214" t="n">
        <v>3.2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s="2" t="inlineStr"/>
    </row>
    <row r="215" ht="15" customHeight="1">
      <c r="A215" t="inlineStr">
        <is>
          <t>A 12577-2025</t>
        </is>
      </c>
      <c r="B215" t="inlineStr">
        <is>
          <t>avverkningsanmälan</t>
        </is>
      </c>
      <c r="C215" t="inlineStr">
        <is>
          <t>Föryngringsavverkning</t>
        </is>
      </c>
      <c r="D215" s="1" t="n">
        <v>45732</v>
      </c>
      <c r="E215" s="1" t="n">
        <v>46322</v>
      </c>
      <c r="F215" t="inlineStr">
        <is>
          <t>JÖNKÖPINGS LÄN</t>
        </is>
      </c>
      <c r="G215" t="inlineStr">
        <is>
          <t>NÄSSJÖ</t>
        </is>
      </c>
      <c r="I215" t="n">
        <v>0.8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s="2" t="inlineStr"/>
    </row>
    <row r="216" ht="15" customHeight="1">
      <c r="A216" t="inlineStr">
        <is>
          <t>A 28254-2026</t>
        </is>
      </c>
      <c r="B216" t="inlineStr">
        <is>
          <t>avverkningsanmälan</t>
        </is>
      </c>
      <c r="C216" t="inlineStr">
        <is>
          <t>Föryngringsavverkning</t>
        </is>
      </c>
      <c r="D216" s="1" t="n">
        <v>46196</v>
      </c>
      <c r="E216" s="1" t="n">
        <v>46322</v>
      </c>
      <c r="F216" t="inlineStr">
        <is>
          <t>JÖNKÖPINGS LÄN</t>
        </is>
      </c>
      <c r="G216" t="inlineStr">
        <is>
          <t>NÄSSJÖ</t>
        </is>
      </c>
      <c r="I216" t="n">
        <v>1.5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s="2" t="inlineStr"/>
    </row>
    <row r="217" ht="15" customHeight="1">
      <c r="A217" t="inlineStr">
        <is>
          <t>A 14778-2023</t>
        </is>
      </c>
      <c r="B217" t="inlineStr">
        <is>
          <t>avverkningsanmälan</t>
        </is>
      </c>
      <c r="C217" t="inlineStr">
        <is>
          <t>Föryngringsavverkning</t>
        </is>
      </c>
      <c r="D217" s="1" t="n">
        <v>45014</v>
      </c>
      <c r="E217" s="1" t="n">
        <v>46322</v>
      </c>
      <c r="F217" t="inlineStr">
        <is>
          <t>JÖNKÖPINGS LÄN</t>
        </is>
      </c>
      <c r="G217" t="inlineStr">
        <is>
          <t>NÄSSJÖ</t>
        </is>
      </c>
      <c r="I217" t="n">
        <v>2.5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s="2" t="inlineStr"/>
    </row>
    <row r="218" ht="15" customHeight="1">
      <c r="A218" t="inlineStr">
        <is>
          <t>A 28257-2026</t>
        </is>
      </c>
      <c r="B218" t="inlineStr">
        <is>
          <t>avverkningsanmälan</t>
        </is>
      </c>
      <c r="C218" t="inlineStr">
        <is>
          <t>Föryngringsavverkning</t>
        </is>
      </c>
      <c r="D218" s="1" t="n">
        <v>46196</v>
      </c>
      <c r="E218" s="1" t="n">
        <v>46322</v>
      </c>
      <c r="F218" t="inlineStr">
        <is>
          <t>JÖNKÖPINGS LÄN</t>
        </is>
      </c>
      <c r="G218" t="inlineStr">
        <is>
          <t>NÄSSJÖ</t>
        </is>
      </c>
      <c r="I218" t="n">
        <v>2.6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s="2" t="inlineStr"/>
    </row>
    <row r="219" ht="15" customHeight="1">
      <c r="A219" t="inlineStr">
        <is>
          <t>A 24533-2024</t>
        </is>
      </c>
      <c r="B219" t="inlineStr">
        <is>
          <t>avverkningsanmälan</t>
        </is>
      </c>
      <c r="C219" t="inlineStr">
        <is>
          <t>Föryngringsavverkning</t>
        </is>
      </c>
      <c r="D219" s="1" t="n">
        <v>45460</v>
      </c>
      <c r="E219" s="1" t="n">
        <v>46322</v>
      </c>
      <c r="F219" t="inlineStr">
        <is>
          <t>JÖNKÖPINGS LÄN</t>
        </is>
      </c>
      <c r="G219" t="inlineStr">
        <is>
          <t>NÄSSJÖ</t>
        </is>
      </c>
      <c r="I219" t="n">
        <v>2.7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s="2" t="inlineStr"/>
    </row>
    <row r="220" ht="15" customHeight="1">
      <c r="A220" t="inlineStr">
        <is>
          <t>A 12950-2025</t>
        </is>
      </c>
      <c r="B220" t="inlineStr">
        <is>
          <t>avverkningsanmälan</t>
        </is>
      </c>
      <c r="C220" t="inlineStr">
        <is>
          <t>Föryngringsavverkning</t>
        </is>
      </c>
      <c r="D220" s="1" t="n">
        <v>45734</v>
      </c>
      <c r="E220" s="1" t="n">
        <v>46322</v>
      </c>
      <c r="F220" t="inlineStr">
        <is>
          <t>JÖNKÖPINGS LÄN</t>
        </is>
      </c>
      <c r="G220" t="inlineStr">
        <is>
          <t>NÄSSJÖ</t>
        </is>
      </c>
      <c r="I220" t="n">
        <v>0.7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s="2" t="inlineStr"/>
    </row>
    <row r="221" ht="15" customHeight="1">
      <c r="A221" t="inlineStr">
        <is>
          <t>A 23924-2025</t>
        </is>
      </c>
      <c r="B221" t="inlineStr">
        <is>
          <t>avverkningsanmälan</t>
        </is>
      </c>
      <c r="C221" t="inlineStr">
        <is>
          <t>Föryngringsavverkning</t>
        </is>
      </c>
      <c r="D221" s="1" t="n">
        <v>45795</v>
      </c>
      <c r="E221" s="1" t="n">
        <v>46322</v>
      </c>
      <c r="F221" t="inlineStr">
        <is>
          <t>JÖNKÖPINGS LÄN</t>
        </is>
      </c>
      <c r="G221" t="inlineStr">
        <is>
          <t>NÄSSJÖ</t>
        </is>
      </c>
      <c r="I221" t="n">
        <v>5.9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s="2" t="inlineStr"/>
    </row>
    <row r="222" ht="15" customHeight="1">
      <c r="A222" t="inlineStr">
        <is>
          <t>A 60724-2023</t>
        </is>
      </c>
      <c r="B222" t="inlineStr">
        <is>
          <t>avverkningsanmälan</t>
        </is>
      </c>
      <c r="C222" t="inlineStr">
        <is>
          <t>Föryngringsavverkning</t>
        </is>
      </c>
      <c r="D222" s="1" t="n">
        <v>45260</v>
      </c>
      <c r="E222" s="1" t="n">
        <v>46322</v>
      </c>
      <c r="F222" t="inlineStr">
        <is>
          <t>JÖNKÖPINGS LÄN</t>
        </is>
      </c>
      <c r="G222" t="inlineStr">
        <is>
          <t>NÄSSJÖ</t>
        </is>
      </c>
      <c r="I222" t="n">
        <v>3.4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s="2" t="inlineStr"/>
    </row>
    <row r="223" ht="15" customHeight="1">
      <c r="A223" t="inlineStr">
        <is>
          <t>A 23925-2025</t>
        </is>
      </c>
      <c r="B223" t="inlineStr">
        <is>
          <t>avverkningsanmälan</t>
        </is>
      </c>
      <c r="C223" t="inlineStr">
        <is>
          <t>Föryngringsavverkning</t>
        </is>
      </c>
      <c r="D223" s="1" t="n">
        <v>45795</v>
      </c>
      <c r="E223" s="1" t="n">
        <v>46322</v>
      </c>
      <c r="F223" t="inlineStr">
        <is>
          <t>JÖNKÖPINGS LÄN</t>
        </is>
      </c>
      <c r="G223" t="inlineStr">
        <is>
          <t>NÄSSJÖ</t>
        </is>
      </c>
      <c r="I223" t="n">
        <v>4.3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s="2" t="inlineStr"/>
    </row>
    <row r="224" ht="15" customHeight="1">
      <c r="A224" t="inlineStr">
        <is>
          <t>A 32982-2024</t>
        </is>
      </c>
      <c r="B224" t="inlineStr">
        <is>
          <t>avverkningsanmälan</t>
        </is>
      </c>
      <c r="C224" t="inlineStr">
        <is>
          <t>Avverkning för att bevara och utveckla /försöksver</t>
        </is>
      </c>
      <c r="D224" s="1" t="n">
        <v>45517</v>
      </c>
      <c r="E224" s="1" t="n">
        <v>46322</v>
      </c>
      <c r="F224" t="inlineStr">
        <is>
          <t>JÖNKÖPINGS LÄN</t>
        </is>
      </c>
      <c r="G224" t="inlineStr">
        <is>
          <t>NÄSSJÖ</t>
        </is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s="2" t="inlineStr"/>
    </row>
    <row r="225" ht="15" customHeight="1">
      <c r="A225" t="inlineStr">
        <is>
          <t>A 11903-2025</t>
        </is>
      </c>
      <c r="B225" t="inlineStr">
        <is>
          <t>avverkningsanmälan</t>
        </is>
      </c>
      <c r="C225" t="inlineStr">
        <is>
          <t>Föryngringsavverkning</t>
        </is>
      </c>
      <c r="D225" s="1" t="n">
        <v>45728</v>
      </c>
      <c r="E225" s="1" t="n">
        <v>46322</v>
      </c>
      <c r="F225" t="inlineStr">
        <is>
          <t>JÖNKÖPINGS LÄN</t>
        </is>
      </c>
      <c r="G225" t="inlineStr">
        <is>
          <t>NÄSSJÖ</t>
        </is>
      </c>
      <c r="I225" t="n">
        <v>0.8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s="2" t="inlineStr"/>
    </row>
    <row r="226" ht="15" customHeight="1">
      <c r="A226" t="inlineStr">
        <is>
          <t>A 14641-2025</t>
        </is>
      </c>
      <c r="B226" t="inlineStr">
        <is>
          <t>avverkningsanmälan</t>
        </is>
      </c>
      <c r="C226" t="inlineStr">
        <is>
          <t>Föryngringsavverkning</t>
        </is>
      </c>
      <c r="D226" s="1" t="n">
        <v>45742</v>
      </c>
      <c r="E226" s="1" t="n">
        <v>46322</v>
      </c>
      <c r="F226" t="inlineStr">
        <is>
          <t>JÖNKÖPINGS LÄN</t>
        </is>
      </c>
      <c r="G226" t="inlineStr">
        <is>
          <t>NÄSSJÖ</t>
        </is>
      </c>
      <c r="I226" t="n">
        <v>1.6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s="2" t="inlineStr"/>
    </row>
    <row r="227" ht="15" customHeight="1">
      <c r="A227" t="inlineStr">
        <is>
          <t>A 28847-2026</t>
        </is>
      </c>
      <c r="B227" t="inlineStr">
        <is>
          <t>avverkningsanmälan</t>
        </is>
      </c>
      <c r="C227" t="inlineStr">
        <is>
          <t>Föryngringsavverkning</t>
        </is>
      </c>
      <c r="D227" s="1" t="n">
        <v>46198</v>
      </c>
      <c r="E227" s="1" t="n">
        <v>46322</v>
      </c>
      <c r="F227" t="inlineStr">
        <is>
          <t>JÖNKÖPINGS LÄN</t>
        </is>
      </c>
      <c r="G227" t="inlineStr">
        <is>
          <t>NÄSSJÖ</t>
        </is>
      </c>
      <c r="I227" t="n">
        <v>0.5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s="2" t="inlineStr"/>
    </row>
    <row r="228" ht="15" customHeight="1">
      <c r="A228" t="inlineStr">
        <is>
          <t>A 8723-2024</t>
        </is>
      </c>
      <c r="B228" t="inlineStr">
        <is>
          <t>avverkningsanmälan</t>
        </is>
      </c>
      <c r="C228" t="inlineStr">
        <is>
          <t>Föryngringsavverkning</t>
        </is>
      </c>
      <c r="D228" s="1" t="n">
        <v>45356</v>
      </c>
      <c r="E228" s="1" t="n">
        <v>46322</v>
      </c>
      <c r="F228" t="inlineStr">
        <is>
          <t>JÖNKÖPINGS LÄN</t>
        </is>
      </c>
      <c r="G228" t="inlineStr">
        <is>
          <t>NÄSSJÖ</t>
        </is>
      </c>
      <c r="I228" t="n">
        <v>1.4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s="2" t="inlineStr"/>
    </row>
    <row r="229" ht="15" customHeight="1">
      <c r="A229" t="inlineStr">
        <is>
          <t>A 59874-2025</t>
        </is>
      </c>
      <c r="B229" t="inlineStr">
        <is>
          <t>avverkningsanmälan</t>
        </is>
      </c>
      <c r="C229" t="inlineStr">
        <is>
          <t>Föryngringsavverkning</t>
        </is>
      </c>
      <c r="D229" s="1" t="n">
        <v>45992</v>
      </c>
      <c r="E229" s="1" t="n">
        <v>46322</v>
      </c>
      <c r="F229" t="inlineStr">
        <is>
          <t>JÖNKÖPINGS LÄN</t>
        </is>
      </c>
      <c r="G229" t="inlineStr">
        <is>
          <t>NÄSSJÖ</t>
        </is>
      </c>
      <c r="I229" t="n">
        <v>3.3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s="2" t="inlineStr"/>
    </row>
    <row r="230" ht="15" customHeight="1">
      <c r="A230" t="inlineStr">
        <is>
          <t>A 12710-2025</t>
        </is>
      </c>
      <c r="B230" t="inlineStr">
        <is>
          <t>avverkningsanmälan</t>
        </is>
      </c>
      <c r="C230" t="inlineStr">
        <is>
          <t>Föryngringsavverkning</t>
        </is>
      </c>
      <c r="D230" s="1" t="n">
        <v>45733</v>
      </c>
      <c r="E230" s="1" t="n">
        <v>46322</v>
      </c>
      <c r="F230" t="inlineStr">
        <is>
          <t>JÖNKÖPINGS LÄN</t>
        </is>
      </c>
      <c r="G230" t="inlineStr">
        <is>
          <t>NÄSSJÖ</t>
        </is>
      </c>
      <c r="I230" t="n">
        <v>3.1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s="2" t="inlineStr"/>
    </row>
    <row r="231" ht="15" customHeight="1">
      <c r="A231" t="inlineStr">
        <is>
          <t>A 60534-2025</t>
        </is>
      </c>
      <c r="B231" t="inlineStr">
        <is>
          <t>avverkningsanmälan</t>
        </is>
      </c>
      <c r="C231" t="inlineStr">
        <is>
          <t>Föryngringsavverkning</t>
        </is>
      </c>
      <c r="D231" s="1" t="n">
        <v>45995</v>
      </c>
      <c r="E231" s="1" t="n">
        <v>46322</v>
      </c>
      <c r="F231" t="inlineStr">
        <is>
          <t>JÖNKÖPINGS LÄN</t>
        </is>
      </c>
      <c r="G231" t="inlineStr">
        <is>
          <t>NÄSSJÖ</t>
        </is>
      </c>
      <c r="I231" t="n">
        <v>2.2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s="2" t="inlineStr"/>
    </row>
    <row r="232" ht="15" customHeight="1">
      <c r="A232" t="inlineStr">
        <is>
          <t>A 253-2023</t>
        </is>
      </c>
      <c r="B232" t="inlineStr">
        <is>
          <t>avverkningsanmälan</t>
        </is>
      </c>
      <c r="C232" t="inlineStr">
        <is>
          <t>Föryngringsavverkning</t>
        </is>
      </c>
      <c r="D232" s="1" t="n">
        <v>44928</v>
      </c>
      <c r="E232" s="1" t="n">
        <v>46322</v>
      </c>
      <c r="F232" t="inlineStr">
        <is>
          <t>JÖNKÖPINGS LÄN</t>
        </is>
      </c>
      <c r="G232" t="inlineStr">
        <is>
          <t>NÄSSJÖ</t>
        </is>
      </c>
      <c r="I232" t="n">
        <v>0.6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s="2" t="inlineStr"/>
    </row>
    <row r="233" ht="15" customHeight="1">
      <c r="A233" t="inlineStr">
        <is>
          <t>A 10946-2025</t>
        </is>
      </c>
      <c r="B233" t="inlineStr">
        <is>
          <t>avverkningsanmälan</t>
        </is>
      </c>
      <c r="C233" t="inlineStr">
        <is>
          <t>Föryngringsavverkning</t>
        </is>
      </c>
      <c r="D233" s="1" t="n">
        <v>45723</v>
      </c>
      <c r="E233" s="1" t="n">
        <v>46322</v>
      </c>
      <c r="F233" t="inlineStr">
        <is>
          <t>JÖNKÖPINGS LÄN</t>
        </is>
      </c>
      <c r="G233" t="inlineStr">
        <is>
          <t>NÄSSJÖ</t>
        </is>
      </c>
      <c r="I233" t="n">
        <v>3.2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s="2" t="inlineStr"/>
    </row>
    <row r="234" ht="15" customHeight="1">
      <c r="A234" t="inlineStr">
        <is>
          <t>A 12305-2025</t>
        </is>
      </c>
      <c r="B234" t="inlineStr">
        <is>
          <t>avverkningsanmälan</t>
        </is>
      </c>
      <c r="C234" t="inlineStr">
        <is>
          <t>Föryngringsavverkning</t>
        </is>
      </c>
      <c r="D234" s="1" t="n">
        <v>45729</v>
      </c>
      <c r="E234" s="1" t="n">
        <v>46322</v>
      </c>
      <c r="F234" t="inlineStr">
        <is>
          <t>JÖNKÖPINGS LÄN</t>
        </is>
      </c>
      <c r="G234" t="inlineStr">
        <is>
          <t>NÄSSJÖ</t>
        </is>
      </c>
      <c r="I234" t="n">
        <v>9.4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s="2" t="inlineStr"/>
    </row>
    <row r="235" ht="15" customHeight="1">
      <c r="A235" t="inlineStr">
        <is>
          <t>A 42708-2023</t>
        </is>
      </c>
      <c r="B235" t="inlineStr">
        <is>
          <t>avverkningsanmälan</t>
        </is>
      </c>
      <c r="C235" t="inlineStr">
        <is>
          <t>Föryngringsavverkning</t>
        </is>
      </c>
      <c r="D235" s="1" t="n">
        <v>45181</v>
      </c>
      <c r="E235" s="1" t="n">
        <v>46322</v>
      </c>
      <c r="F235" t="inlineStr">
        <is>
          <t>JÖNKÖPINGS LÄN</t>
        </is>
      </c>
      <c r="G235" t="inlineStr">
        <is>
          <t>NÄSSJÖ</t>
        </is>
      </c>
      <c r="H235" t="inlineStr">
        <is>
          <t>Sveaskog</t>
        </is>
      </c>
      <c r="I235" t="n">
        <v>2.5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s="2" t="inlineStr"/>
    </row>
    <row r="236" ht="15" customHeight="1">
      <c r="A236" t="inlineStr">
        <is>
          <t>A 60535-2025</t>
        </is>
      </c>
      <c r="B236" t="inlineStr">
        <is>
          <t>avverkningsanmälan</t>
        </is>
      </c>
      <c r="C236" t="inlineStr">
        <is>
          <t>Avverkning för annat ändamål</t>
        </is>
      </c>
      <c r="D236" s="1" t="n">
        <v>45995</v>
      </c>
      <c r="E236" s="1" t="n">
        <v>46322</v>
      </c>
      <c r="F236" t="inlineStr">
        <is>
          <t>JÖNKÖPINGS LÄN</t>
        </is>
      </c>
      <c r="G236" t="inlineStr">
        <is>
          <t>NÄSSJÖ</t>
        </is>
      </c>
      <c r="I236" t="n">
        <v>0.9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s="2" t="inlineStr"/>
    </row>
    <row r="237" ht="15" customHeight="1">
      <c r="A237" t="inlineStr">
        <is>
          <t>A 62224-2023</t>
        </is>
      </c>
      <c r="B237" t="inlineStr">
        <is>
          <t>avverkningsanmälan</t>
        </is>
      </c>
      <c r="C237" t="inlineStr">
        <is>
          <t>Föryngringsavverkning</t>
        </is>
      </c>
      <c r="D237" s="1" t="n">
        <v>45267</v>
      </c>
      <c r="E237" s="1" t="n">
        <v>46322</v>
      </c>
      <c r="F237" t="inlineStr">
        <is>
          <t>JÖNKÖPINGS LÄN</t>
        </is>
      </c>
      <c r="G237" t="inlineStr">
        <is>
          <t>NÄSSJÖ</t>
        </is>
      </c>
      <c r="I237" t="n">
        <v>5.3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s="2" t="inlineStr"/>
    </row>
    <row r="238" ht="15" customHeight="1">
      <c r="A238" t="inlineStr">
        <is>
          <t>A 28844-2026</t>
        </is>
      </c>
      <c r="B238" t="inlineStr">
        <is>
          <t>avverkningsanmälan</t>
        </is>
      </c>
      <c r="C238" t="inlineStr">
        <is>
          <t>Föryngringsavverkning</t>
        </is>
      </c>
      <c r="D238" s="1" t="n">
        <v>46198</v>
      </c>
      <c r="E238" s="1" t="n">
        <v>46322</v>
      </c>
      <c r="F238" t="inlineStr">
        <is>
          <t>JÖNKÖPINGS LÄN</t>
        </is>
      </c>
      <c r="G238" t="inlineStr">
        <is>
          <t>NÄSSJÖ</t>
        </is>
      </c>
      <c r="I238" t="n">
        <v>2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s="2" t="inlineStr"/>
    </row>
    <row r="239" ht="15" customHeight="1">
      <c r="A239" t="inlineStr">
        <is>
          <t>A 27719-2024</t>
        </is>
      </c>
      <c r="B239" t="inlineStr">
        <is>
          <t>avverkningsanmälan</t>
        </is>
      </c>
      <c r="C239" t="inlineStr">
        <is>
          <t>Föryngringsavverkning</t>
        </is>
      </c>
      <c r="D239" s="1" t="n">
        <v>45475</v>
      </c>
      <c r="E239" s="1" t="n">
        <v>46322</v>
      </c>
      <c r="F239" t="inlineStr">
        <is>
          <t>JÖNKÖPINGS LÄN</t>
        </is>
      </c>
      <c r="G239" t="inlineStr">
        <is>
          <t>NÄSSJÖ</t>
        </is>
      </c>
      <c r="I239" t="n">
        <v>1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s="2" t="inlineStr"/>
    </row>
    <row r="240" ht="15" customHeight="1">
      <c r="A240" t="inlineStr">
        <is>
          <t>A 60907-2025</t>
        </is>
      </c>
      <c r="B240" t="inlineStr">
        <is>
          <t>avverkningsanmälan</t>
        </is>
      </c>
      <c r="C240" t="inlineStr">
        <is>
          <t>Föryngringsavverkning</t>
        </is>
      </c>
      <c r="D240" s="1" t="n">
        <v>45999</v>
      </c>
      <c r="E240" s="1" t="n">
        <v>46322</v>
      </c>
      <c r="F240" t="inlineStr">
        <is>
          <t>JÖNKÖPINGS LÄN</t>
        </is>
      </c>
      <c r="G240" t="inlineStr">
        <is>
          <t>NÄSSJÖ</t>
        </is>
      </c>
      <c r="I240" t="n">
        <v>0.8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s="2" t="inlineStr"/>
    </row>
    <row r="241" ht="15" customHeight="1">
      <c r="A241" t="inlineStr">
        <is>
          <t>A 61304-2025</t>
        </is>
      </c>
      <c r="B241" t="inlineStr">
        <is>
          <t>avverkningsanmälan</t>
        </is>
      </c>
      <c r="C241" t="inlineStr">
        <is>
          <t>Föryngringsavverkning</t>
        </is>
      </c>
      <c r="D241" s="1" t="n">
        <v>46000</v>
      </c>
      <c r="E241" s="1" t="n">
        <v>46322</v>
      </c>
      <c r="F241" t="inlineStr">
        <is>
          <t>JÖNKÖPINGS LÄN</t>
        </is>
      </c>
      <c r="G241" t="inlineStr">
        <is>
          <t>NÄSSJÖ</t>
        </is>
      </c>
      <c r="I241" t="n">
        <v>1.4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s="2" t="inlineStr"/>
    </row>
    <row r="242" ht="15" customHeight="1">
      <c r="A242" t="inlineStr">
        <is>
          <t>A 28841-2026</t>
        </is>
      </c>
      <c r="B242" t="inlineStr">
        <is>
          <t>avverkningsanmälan</t>
        </is>
      </c>
      <c r="C242" t="inlineStr">
        <is>
          <t>Föryngringsavverkning</t>
        </is>
      </c>
      <c r="D242" s="1" t="n">
        <v>46198</v>
      </c>
      <c r="E242" s="1" t="n">
        <v>46322</v>
      </c>
      <c r="F242" t="inlineStr">
        <is>
          <t>JÖNKÖPINGS LÄN</t>
        </is>
      </c>
      <c r="G242" t="inlineStr">
        <is>
          <t>NÄSSJÖ</t>
        </is>
      </c>
      <c r="I242" t="n">
        <v>2.6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s="2" t="inlineStr"/>
    </row>
    <row r="243" ht="15" customHeight="1">
      <c r="A243" t="inlineStr">
        <is>
          <t>A 43923-2023</t>
        </is>
      </c>
      <c r="B243" t="inlineStr">
        <is>
          <t>avverkningsanmälan</t>
        </is>
      </c>
      <c r="C243" t="inlineStr">
        <is>
          <t>Föryngringsavverkning</t>
        </is>
      </c>
      <c r="D243" s="1" t="n">
        <v>45182</v>
      </c>
      <c r="E243" s="1" t="n">
        <v>46322</v>
      </c>
      <c r="F243" t="inlineStr">
        <is>
          <t>JÖNKÖPINGS LÄN</t>
        </is>
      </c>
      <c r="G243" t="inlineStr">
        <is>
          <t>NÄSSJÖ</t>
        </is>
      </c>
      <c r="H243" t="inlineStr">
        <is>
          <t>Övriga Aktiebolag</t>
        </is>
      </c>
      <c r="I243" t="n">
        <v>0.9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s="2" t="inlineStr"/>
    </row>
    <row r="244" ht="15" customHeight="1">
      <c r="A244" t="inlineStr">
        <is>
          <t>A 17097-2024</t>
        </is>
      </c>
      <c r="B244" t="inlineStr">
        <is>
          <t>avverkningsanmälan</t>
        </is>
      </c>
      <c r="C244" t="inlineStr">
        <is>
          <t>Föryngringsavverkning</t>
        </is>
      </c>
      <c r="D244" s="1" t="n">
        <v>45412</v>
      </c>
      <c r="E244" s="1" t="n">
        <v>46322</v>
      </c>
      <c r="F244" t="inlineStr">
        <is>
          <t>JÖNKÖPINGS LÄN</t>
        </is>
      </c>
      <c r="G244" t="inlineStr">
        <is>
          <t>NÄSSJÖ</t>
        </is>
      </c>
      <c r="I244" t="n">
        <v>1.8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s="2" t="inlineStr"/>
    </row>
    <row r="245" ht="15" customHeight="1">
      <c r="A245" t="inlineStr">
        <is>
          <t>A 2714-2025</t>
        </is>
      </c>
      <c r="B245" t="inlineStr">
        <is>
          <t>avverkningsanmälan</t>
        </is>
      </c>
      <c r="C245" t="inlineStr">
        <is>
          <t>Föryngringsavverkning</t>
        </is>
      </c>
      <c r="D245" s="1" t="n">
        <v>45677</v>
      </c>
      <c r="E245" s="1" t="n">
        <v>46322</v>
      </c>
      <c r="F245" t="inlineStr">
        <is>
          <t>JÖNKÖPINGS LÄN</t>
        </is>
      </c>
      <c r="G245" t="inlineStr">
        <is>
          <t>NÄSSJÖ</t>
        </is>
      </c>
      <c r="I245" t="n">
        <v>1.2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s="2" t="inlineStr"/>
    </row>
    <row r="246" ht="15" customHeight="1">
      <c r="A246" t="inlineStr">
        <is>
          <t>A 44360-2023</t>
        </is>
      </c>
      <c r="B246" t="inlineStr">
        <is>
          <t>avverkningsanmälan</t>
        </is>
      </c>
      <c r="C246" t="inlineStr">
        <is>
          <t>Avverkning för annat ändamål</t>
        </is>
      </c>
      <c r="D246" s="1" t="n">
        <v>45188</v>
      </c>
      <c r="E246" s="1" t="n">
        <v>46322</v>
      </c>
      <c r="F246" t="inlineStr">
        <is>
          <t>JÖNKÖPINGS LÄN</t>
        </is>
      </c>
      <c r="G246" t="inlineStr">
        <is>
          <t>NÄSSJÖ</t>
        </is>
      </c>
      <c r="I246" t="n">
        <v>1.4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s="2" t="inlineStr"/>
    </row>
    <row r="247" ht="15" customHeight="1">
      <c r="A247" t="inlineStr">
        <is>
          <t>A 28277-2025</t>
        </is>
      </c>
      <c r="B247" t="inlineStr">
        <is>
          <t>avverkningsanmälan</t>
        </is>
      </c>
      <c r="C247" t="inlineStr">
        <is>
          <t>Föryngringsavverkning</t>
        </is>
      </c>
      <c r="D247" s="1" t="n">
        <v>45818</v>
      </c>
      <c r="E247" s="1" t="n">
        <v>46322</v>
      </c>
      <c r="F247" t="inlineStr">
        <is>
          <t>JÖNKÖPINGS LÄN</t>
        </is>
      </c>
      <c r="G247" t="inlineStr">
        <is>
          <t>NÄSSJÖ</t>
        </is>
      </c>
      <c r="I247" t="n">
        <v>5.8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s="2" t="inlineStr"/>
    </row>
    <row r="248" ht="15" customHeight="1">
      <c r="A248" t="inlineStr">
        <is>
          <t>A 28279-2025</t>
        </is>
      </c>
      <c r="B248" t="inlineStr">
        <is>
          <t>avverkningsanmälan</t>
        </is>
      </c>
      <c r="C248" t="inlineStr">
        <is>
          <t>Föryngringsavverkning</t>
        </is>
      </c>
      <c r="D248" s="1" t="n">
        <v>45818</v>
      </c>
      <c r="E248" s="1" t="n">
        <v>46322</v>
      </c>
      <c r="F248" t="inlineStr">
        <is>
          <t>JÖNKÖPINGS LÄN</t>
        </is>
      </c>
      <c r="G248" t="inlineStr">
        <is>
          <t>NÄSSJÖ</t>
        </is>
      </c>
      <c r="I248" t="n">
        <v>5.7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s="2" t="inlineStr"/>
    </row>
    <row r="249" ht="15" customHeight="1">
      <c r="A249" t="inlineStr">
        <is>
          <t>A 62611-2025</t>
        </is>
      </c>
      <c r="B249" t="inlineStr">
        <is>
          <t>avverkningsanmälan</t>
        </is>
      </c>
      <c r="C249" t="inlineStr">
        <is>
          <t>Föryngringsavverkning</t>
        </is>
      </c>
      <c r="D249" s="1" t="n">
        <v>46008</v>
      </c>
      <c r="E249" s="1" t="n">
        <v>46322</v>
      </c>
      <c r="F249" t="inlineStr">
        <is>
          <t>JÖNKÖPINGS LÄN</t>
        </is>
      </c>
      <c r="G249" t="inlineStr">
        <is>
          <t>NÄSSJÖ</t>
        </is>
      </c>
      <c r="I249" t="n">
        <v>0.6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s="2" t="inlineStr"/>
    </row>
    <row r="250" ht="15" customHeight="1">
      <c r="A250" t="inlineStr">
        <is>
          <t>A 15620-2024</t>
        </is>
      </c>
      <c r="B250" t="inlineStr">
        <is>
          <t>avverkningsanmälan</t>
        </is>
      </c>
      <c r="C250" t="inlineStr">
        <is>
          <t>Föryngringsavverkning</t>
        </is>
      </c>
      <c r="D250" s="1" t="n">
        <v>45402</v>
      </c>
      <c r="E250" s="1" t="n">
        <v>46322</v>
      </c>
      <c r="F250" t="inlineStr">
        <is>
          <t>JÖNKÖPINGS LÄN</t>
        </is>
      </c>
      <c r="G250" t="inlineStr">
        <is>
          <t>NÄSSJÖ</t>
        </is>
      </c>
      <c r="I250" t="n">
        <v>0.9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s="2" t="inlineStr"/>
    </row>
    <row r="251" ht="15" customHeight="1">
      <c r="A251" t="inlineStr">
        <is>
          <t>A 28271-2025</t>
        </is>
      </c>
      <c r="B251" t="inlineStr">
        <is>
          <t>avverkningsanmälan</t>
        </is>
      </c>
      <c r="C251" t="inlineStr">
        <is>
          <t>Föryngringsavverkning</t>
        </is>
      </c>
      <c r="D251" s="1" t="n">
        <v>45818</v>
      </c>
      <c r="E251" s="1" t="n">
        <v>46322</v>
      </c>
      <c r="F251" t="inlineStr">
        <is>
          <t>JÖNKÖPINGS LÄN</t>
        </is>
      </c>
      <c r="G251" t="inlineStr">
        <is>
          <t>NÄSSJÖ</t>
        </is>
      </c>
      <c r="I251" t="n">
        <v>5.6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s="2" t="inlineStr"/>
    </row>
    <row r="252" ht="15" customHeight="1">
      <c r="A252" t="inlineStr">
        <is>
          <t>A 29217-2025</t>
        </is>
      </c>
      <c r="B252" t="inlineStr">
        <is>
          <t>avverkningsanmälan</t>
        </is>
      </c>
      <c r="C252" t="inlineStr">
        <is>
          <t>Föryngringsavverkning</t>
        </is>
      </c>
      <c r="D252" s="1" t="n">
        <v>45824</v>
      </c>
      <c r="E252" s="1" t="n">
        <v>46322</v>
      </c>
      <c r="F252" t="inlineStr">
        <is>
          <t>JÖNKÖPINGS LÄN</t>
        </is>
      </c>
      <c r="G252" t="inlineStr">
        <is>
          <t>NÄSSJÖ</t>
        </is>
      </c>
      <c r="I252" t="n">
        <v>0.3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s="2" t="inlineStr"/>
    </row>
    <row r="253" ht="15" customHeight="1">
      <c r="A253" t="inlineStr">
        <is>
          <t>A 29184-2025</t>
        </is>
      </c>
      <c r="B253" t="inlineStr">
        <is>
          <t>avverkningsanmälan</t>
        </is>
      </c>
      <c r="C253" t="inlineStr">
        <is>
          <t>Föryngringsavverkning</t>
        </is>
      </c>
      <c r="D253" s="1" t="n">
        <v>45821</v>
      </c>
      <c r="E253" s="1" t="n">
        <v>46322</v>
      </c>
      <c r="F253" t="inlineStr">
        <is>
          <t>JÖNKÖPINGS LÄN</t>
        </is>
      </c>
      <c r="G253" t="inlineStr">
        <is>
          <t>NÄSSJÖ</t>
        </is>
      </c>
      <c r="I253" t="n">
        <v>2.9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s="2" t="inlineStr"/>
    </row>
    <row r="254" ht="15" customHeight="1">
      <c r="A254" t="inlineStr">
        <is>
          <t>A 29242-2025</t>
        </is>
      </c>
      <c r="B254" t="inlineStr">
        <is>
          <t>avverkningsanmälan</t>
        </is>
      </c>
      <c r="C254" t="inlineStr">
        <is>
          <t>Föryngringsavverkning</t>
        </is>
      </c>
      <c r="D254" s="1" t="n">
        <v>45824</v>
      </c>
      <c r="E254" s="1" t="n">
        <v>46322</v>
      </c>
      <c r="F254" t="inlineStr">
        <is>
          <t>JÖNKÖPINGS LÄN</t>
        </is>
      </c>
      <c r="G254" t="inlineStr">
        <is>
          <t>NÄSSJÖ</t>
        </is>
      </c>
      <c r="I254" t="n">
        <v>1.5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s="2" t="inlineStr"/>
    </row>
    <row r="255" ht="15" customHeight="1">
      <c r="A255" t="inlineStr">
        <is>
          <t>A 29215-2025</t>
        </is>
      </c>
      <c r="B255" t="inlineStr">
        <is>
          <t>avverkningsanmälan</t>
        </is>
      </c>
      <c r="C255" t="inlineStr">
        <is>
          <t>Föryngringsavverkning</t>
        </is>
      </c>
      <c r="D255" s="1" t="n">
        <v>45824</v>
      </c>
      <c r="E255" s="1" t="n">
        <v>46322</v>
      </c>
      <c r="F255" t="inlineStr">
        <is>
          <t>JÖNKÖPINGS LÄN</t>
        </is>
      </c>
      <c r="G255" t="inlineStr">
        <is>
          <t>NÄSSJÖ</t>
        </is>
      </c>
      <c r="I255" t="n">
        <v>0.4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s="2" t="inlineStr"/>
    </row>
    <row r="256" ht="15" customHeight="1">
      <c r="A256" t="inlineStr">
        <is>
          <t>A 29214-2025</t>
        </is>
      </c>
      <c r="B256" t="inlineStr">
        <is>
          <t>avverkningsanmälan</t>
        </is>
      </c>
      <c r="C256" t="inlineStr">
        <is>
          <t>Föryngringsavverkning</t>
        </is>
      </c>
      <c r="D256" s="1" t="n">
        <v>45824</v>
      </c>
      <c r="E256" s="1" t="n">
        <v>46322</v>
      </c>
      <c r="F256" t="inlineStr">
        <is>
          <t>JÖNKÖPINGS LÄN</t>
        </is>
      </c>
      <c r="G256" t="inlineStr">
        <is>
          <t>NÄSSJÖ</t>
        </is>
      </c>
      <c r="I256" t="n">
        <v>1.4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s="2" t="inlineStr"/>
    </row>
    <row r="257" ht="15" customHeight="1">
      <c r="A257" t="inlineStr">
        <is>
          <t>A 22164-2024</t>
        </is>
      </c>
      <c r="B257" t="inlineStr">
        <is>
          <t>avverkningsanmälan</t>
        </is>
      </c>
      <c r="C257" t="inlineStr">
        <is>
          <t>Föryngringsavverkning</t>
        </is>
      </c>
      <c r="D257" s="1" t="n">
        <v>45446</v>
      </c>
      <c r="E257" s="1" t="n">
        <v>46322</v>
      </c>
      <c r="F257" t="inlineStr">
        <is>
          <t>JÖNKÖPINGS LÄN</t>
        </is>
      </c>
      <c r="G257" t="inlineStr">
        <is>
          <t>NÄSSJÖ</t>
        </is>
      </c>
      <c r="I257" t="n">
        <v>1.1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s="2" t="inlineStr"/>
    </row>
    <row r="258" ht="15" customHeight="1">
      <c r="A258" t="inlineStr">
        <is>
          <t>A 18331-2023</t>
        </is>
      </c>
      <c r="B258" t="inlineStr">
        <is>
          <t>avverkningsanmälan</t>
        </is>
      </c>
      <c r="C258" t="inlineStr">
        <is>
          <t>Föryngringsavverkning</t>
        </is>
      </c>
      <c r="D258" s="1" t="n">
        <v>45041</v>
      </c>
      <c r="E258" s="1" t="n">
        <v>46322</v>
      </c>
      <c r="F258" t="inlineStr">
        <is>
          <t>JÖNKÖPINGS LÄN</t>
        </is>
      </c>
      <c r="G258" t="inlineStr">
        <is>
          <t>NÄSSJÖ</t>
        </is>
      </c>
      <c r="I258" t="n">
        <v>2.6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s="2" t="inlineStr"/>
    </row>
    <row r="259" ht="15" customHeight="1">
      <c r="A259" t="inlineStr">
        <is>
          <t>A 2911-2023</t>
        </is>
      </c>
      <c r="B259" t="inlineStr">
        <is>
          <t>avverkningsanmälan</t>
        </is>
      </c>
      <c r="C259" t="inlineStr">
        <is>
          <t>Föryngringsavverkning</t>
        </is>
      </c>
      <c r="D259" s="1" t="n">
        <v>44945</v>
      </c>
      <c r="E259" s="1" t="n">
        <v>46322</v>
      </c>
      <c r="F259" t="inlineStr">
        <is>
          <t>JÖNKÖPINGS LÄN</t>
        </is>
      </c>
      <c r="G259" t="inlineStr">
        <is>
          <t>NÄSSJÖ</t>
        </is>
      </c>
      <c r="I259" t="n">
        <v>8.9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s="2" t="inlineStr"/>
    </row>
    <row r="260" ht="15" customHeight="1">
      <c r="A260" t="inlineStr">
        <is>
          <t>A 36943-2023</t>
        </is>
      </c>
      <c r="B260" t="inlineStr">
        <is>
          <t>avverkningsanmälan</t>
        </is>
      </c>
      <c r="C260" t="inlineStr">
        <is>
          <t>Föryngringsavverkning</t>
        </is>
      </c>
      <c r="D260" s="1" t="n">
        <v>45154</v>
      </c>
      <c r="E260" s="1" t="n">
        <v>46322</v>
      </c>
      <c r="F260" t="inlineStr">
        <is>
          <t>JÖNKÖPINGS LÄN</t>
        </is>
      </c>
      <c r="G260" t="inlineStr">
        <is>
          <t>NÄSSJÖ</t>
        </is>
      </c>
      <c r="I260" t="n">
        <v>0.9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s="2" t="inlineStr"/>
    </row>
    <row r="261" ht="15" customHeight="1">
      <c r="A261" t="inlineStr">
        <is>
          <t>A 19186-2023</t>
        </is>
      </c>
      <c r="B261" t="inlineStr">
        <is>
          <t>avverkningsanmälan</t>
        </is>
      </c>
      <c r="C261" t="inlineStr">
        <is>
          <t>Föryngringsavverkning</t>
        </is>
      </c>
      <c r="D261" s="1" t="n">
        <v>45046</v>
      </c>
      <c r="E261" s="1" t="n">
        <v>46322</v>
      </c>
      <c r="F261" t="inlineStr">
        <is>
          <t>JÖNKÖPINGS LÄN</t>
        </is>
      </c>
      <c r="G261" t="inlineStr">
        <is>
          <t>NÄSSJÖ</t>
        </is>
      </c>
      <c r="I261" t="n">
        <v>1.8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s="2" t="inlineStr"/>
    </row>
    <row r="262" ht="15" customHeight="1">
      <c r="A262" t="inlineStr">
        <is>
          <t>A 20498-2022</t>
        </is>
      </c>
      <c r="B262" t="inlineStr">
        <is>
          <t>avverkningsanmälan</t>
        </is>
      </c>
      <c r="C262" t="inlineStr">
        <is>
          <t>Föryngringsavverkning</t>
        </is>
      </c>
      <c r="D262" s="1" t="n">
        <v>44699</v>
      </c>
      <c r="E262" s="1" t="n">
        <v>46322</v>
      </c>
      <c r="F262" t="inlineStr">
        <is>
          <t>JÖNKÖPINGS LÄN</t>
        </is>
      </c>
      <c r="G262" t="inlineStr">
        <is>
          <t>NÄSSJÖ</t>
        </is>
      </c>
      <c r="I262" t="n">
        <v>11.3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s="2" t="inlineStr"/>
    </row>
    <row r="263" ht="15" customHeight="1">
      <c r="A263" t="inlineStr">
        <is>
          <t>A 23894-2025</t>
        </is>
      </c>
      <c r="B263" t="inlineStr">
        <is>
          <t>avverkningsanmälan</t>
        </is>
      </c>
      <c r="C263" t="inlineStr">
        <is>
          <t>Föryngringsavverkning</t>
        </is>
      </c>
      <c r="D263" s="1" t="n">
        <v>45794</v>
      </c>
      <c r="E263" s="1" t="n">
        <v>46322</v>
      </c>
      <c r="F263" t="inlineStr">
        <is>
          <t>JÖNKÖPINGS LÄN</t>
        </is>
      </c>
      <c r="G263" t="inlineStr">
        <is>
          <t>NÄSSJÖ</t>
        </is>
      </c>
      <c r="I263" t="n">
        <v>2.2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s="2" t="inlineStr"/>
    </row>
    <row r="264" ht="15" customHeight="1">
      <c r="A264" t="inlineStr">
        <is>
          <t>A 63987-2025</t>
        </is>
      </c>
      <c r="B264" t="inlineStr">
        <is>
          <t>avverkningsanmälan</t>
        </is>
      </c>
      <c r="C264" t="inlineStr">
        <is>
          <t>Föryngringsavverkning</t>
        </is>
      </c>
      <c r="D264" s="1" t="n">
        <v>46021</v>
      </c>
      <c r="E264" s="1" t="n">
        <v>46322</v>
      </c>
      <c r="F264" t="inlineStr">
        <is>
          <t>JÖNKÖPINGS LÄN</t>
        </is>
      </c>
      <c r="G264" t="inlineStr">
        <is>
          <t>NÄSSJÖ</t>
        </is>
      </c>
      <c r="I264" t="n">
        <v>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s="2" t="inlineStr"/>
    </row>
    <row r="265" ht="15" customHeight="1">
      <c r="A265" t="inlineStr">
        <is>
          <t>A 29306-2026</t>
        </is>
      </c>
      <c r="B265" t="inlineStr">
        <is>
          <t>avverkningsanmälan</t>
        </is>
      </c>
      <c r="C265" t="inlineStr">
        <is>
          <t>Föryngringsavverkning</t>
        </is>
      </c>
      <c r="D265" s="1" t="n">
        <v>46202</v>
      </c>
      <c r="E265" s="1" t="n">
        <v>46322</v>
      </c>
      <c r="F265" t="inlineStr">
        <is>
          <t>JÖNKÖPINGS LÄN</t>
        </is>
      </c>
      <c r="G265" t="inlineStr">
        <is>
          <t>NÄSSJÖ</t>
        </is>
      </c>
      <c r="I265" t="n">
        <v>0.6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s="2" t="inlineStr"/>
    </row>
    <row r="266" ht="15" customHeight="1">
      <c r="A266" t="inlineStr">
        <is>
          <t>A 33419-2025</t>
        </is>
      </c>
      <c r="B266" t="inlineStr">
        <is>
          <t>avverkningsanmälan</t>
        </is>
      </c>
      <c r="C266" t="inlineStr">
        <is>
          <t>Föryngringsavverkning</t>
        </is>
      </c>
      <c r="D266" s="1" t="n">
        <v>45841</v>
      </c>
      <c r="E266" s="1" t="n">
        <v>46322</v>
      </c>
      <c r="F266" t="inlineStr">
        <is>
          <t>JÖNKÖPINGS LÄN</t>
        </is>
      </c>
      <c r="G266" t="inlineStr">
        <is>
          <t>NÄSSJÖ</t>
        </is>
      </c>
      <c r="I266" t="n">
        <v>1.3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s="2" t="inlineStr"/>
    </row>
    <row r="267" ht="15" customHeight="1">
      <c r="A267" t="inlineStr">
        <is>
          <t>A 33422-2025</t>
        </is>
      </c>
      <c r="B267" t="inlineStr">
        <is>
          <t>avverkningsanmälan</t>
        </is>
      </c>
      <c r="C267" t="inlineStr">
        <is>
          <t>Föryngringsavverkning</t>
        </is>
      </c>
      <c r="D267" s="1" t="n">
        <v>45841</v>
      </c>
      <c r="E267" s="1" t="n">
        <v>46322</v>
      </c>
      <c r="F267" t="inlineStr">
        <is>
          <t>JÖNKÖPINGS LÄN</t>
        </is>
      </c>
      <c r="G267" t="inlineStr">
        <is>
          <t>NÄSSJÖ</t>
        </is>
      </c>
      <c r="I267" t="n">
        <v>0.5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s="2" t="inlineStr"/>
    </row>
    <row r="268" ht="15" customHeight="1">
      <c r="A268" t="inlineStr">
        <is>
          <t>A 33978-2025</t>
        </is>
      </c>
      <c r="B268" t="inlineStr">
        <is>
          <t>avverkningsanmälan</t>
        </is>
      </c>
      <c r="C268" t="inlineStr">
        <is>
          <t>Föryngringsavverkning</t>
        </is>
      </c>
      <c r="D268" s="1" t="n">
        <v>45843</v>
      </c>
      <c r="E268" s="1" t="n">
        <v>46322</v>
      </c>
      <c r="F268" t="inlineStr">
        <is>
          <t>JÖNKÖPINGS LÄN</t>
        </is>
      </c>
      <c r="G268" t="inlineStr">
        <is>
          <t>NÄSSJÖ</t>
        </is>
      </c>
      <c r="I268" t="n">
        <v>0.9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s="2" t="inlineStr"/>
    </row>
    <row r="269" ht="15" customHeight="1">
      <c r="A269" t="inlineStr">
        <is>
          <t>A 49666-2023</t>
        </is>
      </c>
      <c r="B269" t="inlineStr">
        <is>
          <t>avverkningsanmälan</t>
        </is>
      </c>
      <c r="C269" t="inlineStr">
        <is>
          <t>Föryngringsavverkning</t>
        </is>
      </c>
      <c r="D269" s="1" t="n">
        <v>45212</v>
      </c>
      <c r="E269" s="1" t="n">
        <v>46322</v>
      </c>
      <c r="F269" t="inlineStr">
        <is>
          <t>JÖNKÖPINGS LÄN</t>
        </is>
      </c>
      <c r="G269" t="inlineStr">
        <is>
          <t>NÄSSJÖ</t>
        </is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s="2" t="inlineStr"/>
    </row>
    <row r="270" ht="15" customHeight="1">
      <c r="A270" t="inlineStr">
        <is>
          <t>A 33977-2025</t>
        </is>
      </c>
      <c r="B270" t="inlineStr">
        <is>
          <t>avverkningsanmälan</t>
        </is>
      </c>
      <c r="C270" t="inlineStr">
        <is>
          <t>Föryngringsavverkning</t>
        </is>
      </c>
      <c r="D270" s="1" t="n">
        <v>45843</v>
      </c>
      <c r="E270" s="1" t="n">
        <v>46322</v>
      </c>
      <c r="F270" t="inlineStr">
        <is>
          <t>JÖNKÖPINGS LÄN</t>
        </is>
      </c>
      <c r="G270" t="inlineStr">
        <is>
          <t>NÄSSJÖ</t>
        </is>
      </c>
      <c r="I270" t="n">
        <v>0.7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s="2" t="inlineStr"/>
    </row>
    <row r="271" ht="15" customHeight="1">
      <c r="A271" t="inlineStr">
        <is>
          <t>A 33979-2025</t>
        </is>
      </c>
      <c r="B271" t="inlineStr">
        <is>
          <t>avverkningsanmälan</t>
        </is>
      </c>
      <c r="C271" t="inlineStr">
        <is>
          <t>Föryngringsavverkning</t>
        </is>
      </c>
      <c r="D271" s="1" t="n">
        <v>45843</v>
      </c>
      <c r="E271" s="1" t="n">
        <v>46322</v>
      </c>
      <c r="F271" t="inlineStr">
        <is>
          <t>JÖNKÖPINGS LÄN</t>
        </is>
      </c>
      <c r="G271" t="inlineStr">
        <is>
          <t>NÄSSJÖ</t>
        </is>
      </c>
      <c r="I271" t="n">
        <v>0.6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s="2" t="inlineStr"/>
    </row>
    <row r="272" ht="15" customHeight="1">
      <c r="A272" t="inlineStr">
        <is>
          <t>A 1113-2026</t>
        </is>
      </c>
      <c r="B272" t="inlineStr">
        <is>
          <t>avverkningsanmälan</t>
        </is>
      </c>
      <c r="C272" t="inlineStr">
        <is>
          <t>Föryngringsavverkning</t>
        </is>
      </c>
      <c r="D272" s="1" t="n">
        <v>46030</v>
      </c>
      <c r="E272" s="1" t="n">
        <v>46322</v>
      </c>
      <c r="F272" t="inlineStr">
        <is>
          <t>JÖNKÖPINGS LÄN</t>
        </is>
      </c>
      <c r="G272" t="inlineStr">
        <is>
          <t>NÄSSJÖ</t>
        </is>
      </c>
      <c r="I272" t="n">
        <v>1.9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s="2" t="inlineStr"/>
    </row>
    <row r="273" ht="15" customHeight="1">
      <c r="A273" t="inlineStr">
        <is>
          <t>A 15723-2025</t>
        </is>
      </c>
      <c r="B273" t="inlineStr">
        <is>
          <t>avverkningsanmälan</t>
        </is>
      </c>
      <c r="C273" t="inlineStr">
        <is>
          <t>Föryngringsavverkning</t>
        </is>
      </c>
      <c r="D273" s="1" t="n">
        <v>45747</v>
      </c>
      <c r="E273" s="1" t="n">
        <v>46322</v>
      </c>
      <c r="F273" t="inlineStr">
        <is>
          <t>JÖNKÖPINGS LÄN</t>
        </is>
      </c>
      <c r="G273" t="inlineStr">
        <is>
          <t>NÄSSJÖ</t>
        </is>
      </c>
      <c r="I273" t="n">
        <v>1.2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s="2" t="inlineStr"/>
    </row>
    <row r="274" ht="15" customHeight="1">
      <c r="A274" t="inlineStr">
        <is>
          <t>A 23385-2025</t>
        </is>
      </c>
      <c r="B274" t="inlineStr">
        <is>
          <t>avverkningsanmälan</t>
        </is>
      </c>
      <c r="C274" t="inlineStr">
        <is>
          <t>Föryngringsavverkning</t>
        </is>
      </c>
      <c r="D274" s="1" t="n">
        <v>45791</v>
      </c>
      <c r="E274" s="1" t="n">
        <v>46322</v>
      </c>
      <c r="F274" t="inlineStr">
        <is>
          <t>JÖNKÖPINGS LÄN</t>
        </is>
      </c>
      <c r="G274" t="inlineStr">
        <is>
          <t>NÄSSJÖ</t>
        </is>
      </c>
      <c r="I274" t="n">
        <v>1.4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s="2" t="inlineStr"/>
    </row>
    <row r="275" ht="15" customHeight="1">
      <c r="A275" t="inlineStr">
        <is>
          <t>A 9943-2025</t>
        </is>
      </c>
      <c r="B275" t="inlineStr">
        <is>
          <t>avverkningsanmälan</t>
        </is>
      </c>
      <c r="C275" t="inlineStr">
        <is>
          <t>Avverkning för annat ändamål</t>
        </is>
      </c>
      <c r="D275" s="1" t="n">
        <v>45719</v>
      </c>
      <c r="E275" s="1" t="n">
        <v>46322</v>
      </c>
      <c r="F275" t="inlineStr">
        <is>
          <t>JÖNKÖPINGS LÄN</t>
        </is>
      </c>
      <c r="G275" t="inlineStr">
        <is>
          <t>NÄSSJÖ</t>
        </is>
      </c>
      <c r="I275" t="n">
        <v>1.3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s="2" t="inlineStr"/>
    </row>
    <row r="276" ht="15" customHeight="1">
      <c r="A276" t="inlineStr">
        <is>
          <t>A 10500-2025</t>
        </is>
      </c>
      <c r="B276" t="inlineStr">
        <is>
          <t>avverkningsanmälan</t>
        </is>
      </c>
      <c r="C276" t="inlineStr">
        <is>
          <t>Föryngringsavverkning</t>
        </is>
      </c>
      <c r="D276" s="1" t="n">
        <v>45721</v>
      </c>
      <c r="E276" s="1" t="n">
        <v>46322</v>
      </c>
      <c r="F276" t="inlineStr">
        <is>
          <t>JÖNKÖPINGS LÄN</t>
        </is>
      </c>
      <c r="G276" t="inlineStr">
        <is>
          <t>NÄSSJÖ</t>
        </is>
      </c>
      <c r="I276" t="n">
        <v>2.6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s="2" t="inlineStr"/>
    </row>
    <row r="277" ht="15" customHeight="1">
      <c r="A277" t="inlineStr">
        <is>
          <t>A 29947-2024</t>
        </is>
      </c>
      <c r="B277" t="inlineStr">
        <is>
          <t>avverkningsanmälan</t>
        </is>
      </c>
      <c r="C277" t="inlineStr">
        <is>
          <t>Föryngringsavverkning</t>
        </is>
      </c>
      <c r="D277" s="1" t="n">
        <v>45488</v>
      </c>
      <c r="E277" s="1" t="n">
        <v>46322</v>
      </c>
      <c r="F277" t="inlineStr">
        <is>
          <t>JÖNKÖPINGS LÄN</t>
        </is>
      </c>
      <c r="G277" t="inlineStr">
        <is>
          <t>NÄSSJÖ</t>
        </is>
      </c>
      <c r="I277" t="n">
        <v>4.9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s="2" t="inlineStr"/>
    </row>
    <row r="278" ht="15" customHeight="1">
      <c r="A278" t="inlineStr">
        <is>
          <t>A 29751-2026</t>
        </is>
      </c>
      <c r="B278" t="inlineStr">
        <is>
          <t>avverkningsanmälan</t>
        </is>
      </c>
      <c r="C278" t="inlineStr">
        <is>
          <t>Föryngringsavverkning</t>
        </is>
      </c>
      <c r="D278" s="1" t="n">
        <v>46204</v>
      </c>
      <c r="E278" s="1" t="n">
        <v>46322</v>
      </c>
      <c r="F278" t="inlineStr">
        <is>
          <t>JÖNKÖPINGS LÄN</t>
        </is>
      </c>
      <c r="G278" t="inlineStr">
        <is>
          <t>NÄSSJÖ</t>
        </is>
      </c>
      <c r="I278" t="n">
        <v>0.6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s="2" t="inlineStr"/>
    </row>
    <row r="279" ht="15" customHeight="1">
      <c r="A279" t="inlineStr">
        <is>
          <t>A 4361-2026</t>
        </is>
      </c>
      <c r="B279" t="inlineStr">
        <is>
          <t>avverkningsanmälan</t>
        </is>
      </c>
      <c r="C279" t="inlineStr">
        <is>
          <t>Föryngringsavverkning</t>
        </is>
      </c>
      <c r="D279" s="1" t="n">
        <v>46044</v>
      </c>
      <c r="E279" s="1" t="n">
        <v>46322</v>
      </c>
      <c r="F279" t="inlineStr">
        <is>
          <t>JÖNKÖPINGS LÄN</t>
        </is>
      </c>
      <c r="G279" t="inlineStr">
        <is>
          <t>NÄSSJÖ</t>
        </is>
      </c>
      <c r="I279" t="n">
        <v>3.8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s="2" t="inlineStr"/>
    </row>
    <row r="280" ht="15" customHeight="1">
      <c r="A280" t="inlineStr">
        <is>
          <t>A 207-2023</t>
        </is>
      </c>
      <c r="B280" t="inlineStr">
        <is>
          <t>avverkningsanmälan</t>
        </is>
      </c>
      <c r="C280" t="inlineStr">
        <is>
          <t>Föryngringsavverkning</t>
        </is>
      </c>
      <c r="D280" s="1" t="n">
        <v>44928</v>
      </c>
      <c r="E280" s="1" t="n">
        <v>46322</v>
      </c>
      <c r="F280" t="inlineStr">
        <is>
          <t>JÖNKÖPINGS LÄN</t>
        </is>
      </c>
      <c r="G280" t="inlineStr">
        <is>
          <t>NÄSSJÖ</t>
        </is>
      </c>
      <c r="I280" t="n">
        <v>13.7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s="2" t="inlineStr"/>
    </row>
    <row r="281" ht="15" customHeight="1">
      <c r="A281" t="inlineStr">
        <is>
          <t>A 210-2023</t>
        </is>
      </c>
      <c r="B281" t="inlineStr">
        <is>
          <t>avverkningsanmälan</t>
        </is>
      </c>
      <c r="C281" t="inlineStr">
        <is>
          <t>Föryngringsavverkning</t>
        </is>
      </c>
      <c r="D281" s="1" t="n">
        <v>44928</v>
      </c>
      <c r="E281" s="1" t="n">
        <v>46322</v>
      </c>
      <c r="F281" t="inlineStr">
        <is>
          <t>JÖNKÖPINGS LÄN</t>
        </is>
      </c>
      <c r="G281" t="inlineStr">
        <is>
          <t>NÄSSJÖ</t>
        </is>
      </c>
      <c r="I281" t="n">
        <v>1.2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s="2" t="inlineStr"/>
    </row>
    <row r="282" ht="15" customHeight="1">
      <c r="A282" t="inlineStr">
        <is>
          <t>A 12575-2025</t>
        </is>
      </c>
      <c r="B282" t="inlineStr">
        <is>
          <t>avverkningsanmälan</t>
        </is>
      </c>
      <c r="C282" t="inlineStr">
        <is>
          <t>Föryngringsavverkning</t>
        </is>
      </c>
      <c r="D282" s="1" t="n">
        <v>45732</v>
      </c>
      <c r="E282" s="1" t="n">
        <v>46322</v>
      </c>
      <c r="F282" t="inlineStr">
        <is>
          <t>JÖNKÖPINGS LÄN</t>
        </is>
      </c>
      <c r="G282" t="inlineStr">
        <is>
          <t>NÄSSJÖ</t>
        </is>
      </c>
      <c r="I282" t="n">
        <v>0.5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s="2" t="inlineStr"/>
    </row>
    <row r="283" ht="15" customHeight="1">
      <c r="A283" t="inlineStr">
        <is>
          <t>A 3962-2026</t>
        </is>
      </c>
      <c r="B283" t="inlineStr">
        <is>
          <t>avverkningsanmälan</t>
        </is>
      </c>
      <c r="C283" t="inlineStr">
        <is>
          <t>Föryngringsavverkning</t>
        </is>
      </c>
      <c r="D283" s="1" t="n">
        <v>46044</v>
      </c>
      <c r="E283" s="1" t="n">
        <v>46322</v>
      </c>
      <c r="F283" t="inlineStr">
        <is>
          <t>JÖNKÖPINGS LÄN</t>
        </is>
      </c>
      <c r="G283" t="inlineStr">
        <is>
          <t>NÄSSJÖ</t>
        </is>
      </c>
      <c r="I283" t="n">
        <v>2.2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s="2" t="inlineStr"/>
    </row>
    <row r="284" ht="15" customHeight="1">
      <c r="A284" t="inlineStr">
        <is>
          <t>A 59348-2022</t>
        </is>
      </c>
      <c r="B284" t="inlineStr">
        <is>
          <t>avverkningsanmälan</t>
        </is>
      </c>
      <c r="C284" t="inlineStr">
        <is>
          <t>Föryngringsavverkning</t>
        </is>
      </c>
      <c r="D284" s="1" t="n">
        <v>44904</v>
      </c>
      <c r="E284" s="1" t="n">
        <v>46322</v>
      </c>
      <c r="F284" t="inlineStr">
        <is>
          <t>JÖNKÖPINGS LÄN</t>
        </is>
      </c>
      <c r="G284" t="inlineStr">
        <is>
          <t>NÄSSJÖ</t>
        </is>
      </c>
      <c r="I284" t="n">
        <v>2.4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s="2" t="inlineStr"/>
    </row>
    <row r="285" ht="15" customHeight="1">
      <c r="A285" t="inlineStr">
        <is>
          <t>A 4606-2026</t>
        </is>
      </c>
      <c r="B285" t="inlineStr">
        <is>
          <t>avverkningsanmälan</t>
        </is>
      </c>
      <c r="C285" t="inlineStr">
        <is>
          <t>Föryngringsavverkning</t>
        </is>
      </c>
      <c r="D285" s="1" t="n">
        <v>46048</v>
      </c>
      <c r="E285" s="1" t="n">
        <v>46322</v>
      </c>
      <c r="F285" t="inlineStr">
        <is>
          <t>JÖNKÖPINGS LÄN</t>
        </is>
      </c>
      <c r="G285" t="inlineStr">
        <is>
          <t>NÄSSJÖ</t>
        </is>
      </c>
      <c r="I285" t="n">
        <v>0.7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s="2" t="inlineStr"/>
    </row>
    <row r="286" ht="15" customHeight="1">
      <c r="A286" t="inlineStr">
        <is>
          <t>A 4620-2026</t>
        </is>
      </c>
      <c r="B286" t="inlineStr">
        <is>
          <t>avverkningsanmälan</t>
        </is>
      </c>
      <c r="C286" t="inlineStr">
        <is>
          <t>Föryngringsavverkning</t>
        </is>
      </c>
      <c r="D286" s="1" t="n">
        <v>46048</v>
      </c>
      <c r="E286" s="1" t="n">
        <v>46322</v>
      </c>
      <c r="F286" t="inlineStr">
        <is>
          <t>JÖNKÖPINGS LÄN</t>
        </is>
      </c>
      <c r="G286" t="inlineStr">
        <is>
          <t>NÄSSJÖ</t>
        </is>
      </c>
      <c r="I286" t="n">
        <v>3.4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s="2" t="inlineStr"/>
    </row>
    <row r="287" ht="15" customHeight="1">
      <c r="A287" t="inlineStr">
        <is>
          <t>A 12593-2025</t>
        </is>
      </c>
      <c r="B287" t="inlineStr">
        <is>
          <t>avverkningsanmälan</t>
        </is>
      </c>
      <c r="C287" t="inlineStr">
        <is>
          <t>Föryngringsavverkning</t>
        </is>
      </c>
      <c r="D287" s="1" t="n">
        <v>45732</v>
      </c>
      <c r="E287" s="1" t="n">
        <v>46322</v>
      </c>
      <c r="F287" t="inlineStr">
        <is>
          <t>JÖNKÖPINGS LÄN</t>
        </is>
      </c>
      <c r="G287" t="inlineStr">
        <is>
          <t>NÄSSJÖ</t>
        </is>
      </c>
      <c r="I287" t="n">
        <v>2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s="2" t="inlineStr"/>
    </row>
    <row r="288" ht="15" customHeight="1">
      <c r="A288" t="inlineStr">
        <is>
          <t>A 5114-2026</t>
        </is>
      </c>
      <c r="B288" t="inlineStr">
        <is>
          <t>avverkningsanmälan</t>
        </is>
      </c>
      <c r="C288" t="inlineStr">
        <is>
          <t>Föryngringsavverkning</t>
        </is>
      </c>
      <c r="D288" s="1" t="n">
        <v>46049</v>
      </c>
      <c r="E288" s="1" t="n">
        <v>46322</v>
      </c>
      <c r="F288" t="inlineStr">
        <is>
          <t>JÖNKÖPINGS LÄN</t>
        </is>
      </c>
      <c r="G288" t="inlineStr">
        <is>
          <t>NÄSSJÖ</t>
        </is>
      </c>
      <c r="I288" t="n">
        <v>0.7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s="2" t="inlineStr"/>
    </row>
    <row r="289" ht="15" customHeight="1">
      <c r="A289" t="inlineStr">
        <is>
          <t>A 3884-2024</t>
        </is>
      </c>
      <c r="B289" t="inlineStr">
        <is>
          <t>avverkningsanmälan</t>
        </is>
      </c>
      <c r="C289" t="inlineStr">
        <is>
          <t>Föryngringsavverkning</t>
        </is>
      </c>
      <c r="D289" s="1" t="n">
        <v>45322</v>
      </c>
      <c r="E289" s="1" t="n">
        <v>46322</v>
      </c>
      <c r="F289" t="inlineStr">
        <is>
          <t>JÖNKÖPINGS LÄN</t>
        </is>
      </c>
      <c r="G289" t="inlineStr">
        <is>
          <t>NÄSSJÖ</t>
        </is>
      </c>
      <c r="I289" t="n">
        <v>0.5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s="2" t="inlineStr"/>
    </row>
    <row r="290" ht="15" customHeight="1">
      <c r="A290" t="inlineStr">
        <is>
          <t>A 5647-2026</t>
        </is>
      </c>
      <c r="B290" t="inlineStr">
        <is>
          <t>avverkningsanmälan</t>
        </is>
      </c>
      <c r="C290" t="inlineStr">
        <is>
          <t>Föryngringsavverkning</t>
        </is>
      </c>
      <c r="D290" s="1" t="n">
        <v>46051</v>
      </c>
      <c r="E290" s="1" t="n">
        <v>46322</v>
      </c>
      <c r="F290" t="inlineStr">
        <is>
          <t>JÖNKÖPINGS LÄN</t>
        </is>
      </c>
      <c r="G290" t="inlineStr">
        <is>
          <t>NÄSSJÖ</t>
        </is>
      </c>
      <c r="I290" t="n">
        <v>1.6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s="2" t="inlineStr"/>
    </row>
    <row r="291" ht="15" customHeight="1">
      <c r="A291" t="inlineStr">
        <is>
          <t>A 8988-2025</t>
        </is>
      </c>
      <c r="B291" t="inlineStr">
        <is>
          <t>avverkningsanmälan</t>
        </is>
      </c>
      <c r="C291" t="inlineStr">
        <is>
          <t>Föryngringsavverkning</t>
        </is>
      </c>
      <c r="D291" s="1" t="n">
        <v>45713</v>
      </c>
      <c r="E291" s="1" t="n">
        <v>46322</v>
      </c>
      <c r="F291" t="inlineStr">
        <is>
          <t>JÖNKÖPINGS LÄN</t>
        </is>
      </c>
      <c r="G291" t="inlineStr">
        <is>
          <t>NÄSSJÖ</t>
        </is>
      </c>
      <c r="I291" t="n">
        <v>1.7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s="2" t="inlineStr"/>
    </row>
    <row r="292" ht="15" customHeight="1">
      <c r="A292" t="inlineStr">
        <is>
          <t>A 6406-2026</t>
        </is>
      </c>
      <c r="B292" t="inlineStr">
        <is>
          <t>avverkningsanmälan</t>
        </is>
      </c>
      <c r="C292" t="inlineStr">
        <is>
          <t>Föryngringsavverkning</t>
        </is>
      </c>
      <c r="D292" s="1" t="n">
        <v>46055</v>
      </c>
      <c r="E292" s="1" t="n">
        <v>46322</v>
      </c>
      <c r="F292" t="inlineStr">
        <is>
          <t>JÖNKÖPINGS LÄN</t>
        </is>
      </c>
      <c r="G292" t="inlineStr">
        <is>
          <t>NÄSSJÖ</t>
        </is>
      </c>
      <c r="I292" t="n">
        <v>1.4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s="2" t="inlineStr"/>
    </row>
    <row r="293" ht="15" customHeight="1">
      <c r="A293" t="inlineStr">
        <is>
          <t>A 5809-2026</t>
        </is>
      </c>
      <c r="B293" t="inlineStr">
        <is>
          <t>avverkningsanmälan</t>
        </is>
      </c>
      <c r="C293" t="inlineStr">
        <is>
          <t>Föryngringsavverkning</t>
        </is>
      </c>
      <c r="D293" s="1" t="n">
        <v>46051</v>
      </c>
      <c r="E293" s="1" t="n">
        <v>46322</v>
      </c>
      <c r="F293" t="inlineStr">
        <is>
          <t>JÖNKÖPINGS LÄN</t>
        </is>
      </c>
      <c r="G293" t="inlineStr">
        <is>
          <t>NÄSSJÖ</t>
        </is>
      </c>
      <c r="I293" t="n">
        <v>2.4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s="2" t="inlineStr"/>
    </row>
    <row r="294" ht="15" customHeight="1">
      <c r="A294" t="inlineStr">
        <is>
          <t>A 6415-2026</t>
        </is>
      </c>
      <c r="B294" t="inlineStr">
        <is>
          <t>avverkningsanmälan</t>
        </is>
      </c>
      <c r="C294" t="inlineStr">
        <is>
          <t>Föryngringsavverkning</t>
        </is>
      </c>
      <c r="D294" s="1" t="n">
        <v>46055</v>
      </c>
      <c r="E294" s="1" t="n">
        <v>46322</v>
      </c>
      <c r="F294" t="inlineStr">
        <is>
          <t>JÖNKÖPINGS LÄN</t>
        </is>
      </c>
      <c r="G294" t="inlineStr">
        <is>
          <t>NÄSSJÖ</t>
        </is>
      </c>
      <c r="I294" t="n">
        <v>6.9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s="2" t="inlineStr"/>
    </row>
    <row r="295" ht="15" customHeight="1">
      <c r="A295" t="inlineStr">
        <is>
          <t>A 37847-2025</t>
        </is>
      </c>
      <c r="B295" t="inlineStr">
        <is>
          <t>avverkningsanmälan</t>
        </is>
      </c>
      <c r="C295" t="inlineStr">
        <is>
          <t>Föryngringsavverkning</t>
        </is>
      </c>
      <c r="D295" s="1" t="n">
        <v>45881</v>
      </c>
      <c r="E295" s="1" t="n">
        <v>46322</v>
      </c>
      <c r="F295" t="inlineStr">
        <is>
          <t>JÖNKÖPINGS LÄN</t>
        </is>
      </c>
      <c r="G295" t="inlineStr">
        <is>
          <t>NÄSSJÖ</t>
        </is>
      </c>
      <c r="I295" t="n">
        <v>1.1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s="2" t="inlineStr"/>
    </row>
    <row r="296" ht="15" customHeight="1">
      <c r="A296" t="inlineStr">
        <is>
          <t>A 37870-2025</t>
        </is>
      </c>
      <c r="B296" t="inlineStr">
        <is>
          <t>avverkningsanmälan</t>
        </is>
      </c>
      <c r="C296" t="inlineStr">
        <is>
          <t>Föryngringsavverkning</t>
        </is>
      </c>
      <c r="D296" s="1" t="n">
        <v>45880</v>
      </c>
      <c r="E296" s="1" t="n">
        <v>46322</v>
      </c>
      <c r="F296" t="inlineStr">
        <is>
          <t>JÖNKÖPINGS LÄN</t>
        </is>
      </c>
      <c r="G296" t="inlineStr">
        <is>
          <t>NÄSSJÖ</t>
        </is>
      </c>
      <c r="I296" t="n">
        <v>0.7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s="2" t="inlineStr"/>
    </row>
    <row r="297" ht="15" customHeight="1">
      <c r="A297" t="inlineStr">
        <is>
          <t>A 37844-2025</t>
        </is>
      </c>
      <c r="B297" t="inlineStr">
        <is>
          <t>avverkningsanmälan</t>
        </is>
      </c>
      <c r="C297" t="inlineStr">
        <is>
          <t>Föryngringsavverkning</t>
        </is>
      </c>
      <c r="D297" s="1" t="n">
        <v>45881</v>
      </c>
      <c r="E297" s="1" t="n">
        <v>46322</v>
      </c>
      <c r="F297" t="inlineStr">
        <is>
          <t>JÖNKÖPINGS LÄN</t>
        </is>
      </c>
      <c r="G297" t="inlineStr">
        <is>
          <t>NÄSSJÖ</t>
        </is>
      </c>
      <c r="I297" t="n">
        <v>0.6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s="2" t="inlineStr"/>
    </row>
    <row r="298" ht="15" customHeight="1">
      <c r="A298" t="inlineStr">
        <is>
          <t>A 37767-2025</t>
        </is>
      </c>
      <c r="B298" t="inlineStr">
        <is>
          <t>avverkningsanmälan</t>
        </is>
      </c>
      <c r="C298" t="inlineStr">
        <is>
          <t>Föryngringsavverkning</t>
        </is>
      </c>
      <c r="D298" s="1" t="n">
        <v>45880</v>
      </c>
      <c r="E298" s="1" t="n">
        <v>46322</v>
      </c>
      <c r="F298" t="inlineStr">
        <is>
          <t>JÖNKÖPINGS LÄN</t>
        </is>
      </c>
      <c r="G298" t="inlineStr">
        <is>
          <t>NÄSSJÖ</t>
        </is>
      </c>
      <c r="I298" t="n">
        <v>0.5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s="2" t="inlineStr"/>
    </row>
    <row r="299" ht="15" customHeight="1">
      <c r="A299" t="inlineStr">
        <is>
          <t>A 37877-2025</t>
        </is>
      </c>
      <c r="B299" t="inlineStr">
        <is>
          <t>avverkningsanmälan</t>
        </is>
      </c>
      <c r="C299" t="inlineStr">
        <is>
          <t>Föryngringsavverkning</t>
        </is>
      </c>
      <c r="D299" s="1" t="n">
        <v>45880</v>
      </c>
      <c r="E299" s="1" t="n">
        <v>46322</v>
      </c>
      <c r="F299" t="inlineStr">
        <is>
          <t>JÖNKÖPINGS LÄN</t>
        </is>
      </c>
      <c r="G299" t="inlineStr">
        <is>
          <t>NÄSSJÖ</t>
        </is>
      </c>
      <c r="I299" t="n">
        <v>2.5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s="2" t="inlineStr"/>
    </row>
    <row r="300" ht="15" customHeight="1">
      <c r="A300" t="inlineStr">
        <is>
          <t>A 6414-2026</t>
        </is>
      </c>
      <c r="B300" t="inlineStr">
        <is>
          <t>avverkningsanmälan</t>
        </is>
      </c>
      <c r="C300" t="inlineStr">
        <is>
          <t>Föryngringsavverkning</t>
        </is>
      </c>
      <c r="D300" s="1" t="n">
        <v>46055</v>
      </c>
      <c r="E300" s="1" t="n">
        <v>46322</v>
      </c>
      <c r="F300" t="inlineStr">
        <is>
          <t>JÖNKÖPINGS LÄN</t>
        </is>
      </c>
      <c r="G300" t="inlineStr">
        <is>
          <t>NÄSSJÖ</t>
        </is>
      </c>
      <c r="I300" t="n">
        <v>2.8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s="2" t="inlineStr"/>
    </row>
    <row r="301" ht="15" customHeight="1">
      <c r="A301" t="inlineStr">
        <is>
          <t>A 7072-2026</t>
        </is>
      </c>
      <c r="B301" t="inlineStr">
        <is>
          <t>avverkningsanmälan</t>
        </is>
      </c>
      <c r="C301" t="inlineStr">
        <is>
          <t>Föryngringsavverkning</t>
        </is>
      </c>
      <c r="D301" s="1" t="n">
        <v>46057</v>
      </c>
      <c r="E301" s="1" t="n">
        <v>46322</v>
      </c>
      <c r="F301" t="inlineStr">
        <is>
          <t>JÖNKÖPINGS LÄN</t>
        </is>
      </c>
      <c r="G301" t="inlineStr">
        <is>
          <t>NÄSSJÖ</t>
        </is>
      </c>
      <c r="H301" t="inlineStr">
        <is>
          <t>Övriga Aktiebolag</t>
        </is>
      </c>
      <c r="I301" t="n">
        <v>6.3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s="2" t="inlineStr"/>
    </row>
    <row r="302" ht="15" customHeight="1">
      <c r="A302" t="inlineStr">
        <is>
          <t>A 49661-2023</t>
        </is>
      </c>
      <c r="B302" t="inlineStr">
        <is>
          <t>avverkningsanmälan</t>
        </is>
      </c>
      <c r="C302" t="inlineStr">
        <is>
          <t>Föryngringsavverkning</t>
        </is>
      </c>
      <c r="D302" s="1" t="n">
        <v>45211</v>
      </c>
      <c r="E302" s="1" t="n">
        <v>46322</v>
      </c>
      <c r="F302" t="inlineStr">
        <is>
          <t>JÖNKÖPINGS LÄN</t>
        </is>
      </c>
      <c r="G302" t="inlineStr">
        <is>
          <t>NÄSSJÖ</t>
        </is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s="2" t="inlineStr"/>
    </row>
    <row r="303" ht="15" customHeight="1">
      <c r="A303" t="inlineStr">
        <is>
          <t>A 7553-2026</t>
        </is>
      </c>
      <c r="B303" t="inlineStr">
        <is>
          <t>avverkningsanmälan</t>
        </is>
      </c>
      <c r="C303" t="inlineStr">
        <is>
          <t>Föryngringsavverkning</t>
        </is>
      </c>
      <c r="D303" s="1" t="n">
        <v>46059</v>
      </c>
      <c r="E303" s="1" t="n">
        <v>46322</v>
      </c>
      <c r="F303" t="inlineStr">
        <is>
          <t>JÖNKÖPINGS LÄN</t>
        </is>
      </c>
      <c r="G303" t="inlineStr">
        <is>
          <t>NÄSSJÖ</t>
        </is>
      </c>
      <c r="I303" t="n">
        <v>1.9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s="2" t="inlineStr"/>
    </row>
    <row r="304" ht="15" customHeight="1">
      <c r="A304" t="inlineStr">
        <is>
          <t>A 14786-2025</t>
        </is>
      </c>
      <c r="B304" t="inlineStr">
        <is>
          <t>avverkningsanmälan</t>
        </is>
      </c>
      <c r="C304" t="inlineStr">
        <is>
          <t>Föryngringsavverkning</t>
        </is>
      </c>
      <c r="D304" s="1" t="n">
        <v>45742</v>
      </c>
      <c r="E304" s="1" t="n">
        <v>46322</v>
      </c>
      <c r="F304" t="inlineStr">
        <is>
          <t>JÖNKÖPINGS LÄN</t>
        </is>
      </c>
      <c r="G304" t="inlineStr">
        <is>
          <t>NÄSSJÖ</t>
        </is>
      </c>
      <c r="I304" t="n">
        <v>2.3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s="2" t="inlineStr"/>
    </row>
    <row r="305" ht="15" customHeight="1">
      <c r="A305" t="inlineStr">
        <is>
          <t>A 33409-2025</t>
        </is>
      </c>
      <c r="B305" t="inlineStr">
        <is>
          <t>avverkningsanmälan</t>
        </is>
      </c>
      <c r="C305" t="inlineStr">
        <is>
          <t>Föryngringsavverkning</t>
        </is>
      </c>
      <c r="D305" s="1" t="n">
        <v>45841</v>
      </c>
      <c r="E305" s="1" t="n">
        <v>46322</v>
      </c>
      <c r="F305" t="inlineStr">
        <is>
          <t>JÖNKÖPINGS LÄN</t>
        </is>
      </c>
      <c r="G305" t="inlineStr">
        <is>
          <t>NÄSSJÖ</t>
        </is>
      </c>
      <c r="I305" t="n">
        <v>1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s="2" t="inlineStr"/>
    </row>
    <row r="306" ht="15" customHeight="1">
      <c r="A306" t="inlineStr">
        <is>
          <t>A 58236-2023</t>
        </is>
      </c>
      <c r="B306" t="inlineStr">
        <is>
          <t>avverkningsanmälan</t>
        </is>
      </c>
      <c r="C306" t="inlineStr">
        <is>
          <t>Föryngringsavverkning</t>
        </is>
      </c>
      <c r="D306" s="1" t="n">
        <v>45245</v>
      </c>
      <c r="E306" s="1" t="n">
        <v>46322</v>
      </c>
      <c r="F306" t="inlineStr">
        <is>
          <t>JÖNKÖPINGS LÄN</t>
        </is>
      </c>
      <c r="G306" t="inlineStr">
        <is>
          <t>NÄSSJÖ</t>
        </is>
      </c>
      <c r="H306" t="inlineStr">
        <is>
          <t>Kommuner</t>
        </is>
      </c>
      <c r="I306" t="n">
        <v>2.9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s="2" t="inlineStr"/>
    </row>
    <row r="307" ht="15" customHeight="1">
      <c r="A307" t="inlineStr">
        <is>
          <t>A 23623-2023</t>
        </is>
      </c>
      <c r="B307" t="inlineStr">
        <is>
          <t>avverkningsanmälan</t>
        </is>
      </c>
      <c r="C307" t="inlineStr">
        <is>
          <t>Föryngringsavverkning</t>
        </is>
      </c>
      <c r="D307" s="1" t="n">
        <v>45077</v>
      </c>
      <c r="E307" s="1" t="n">
        <v>46322</v>
      </c>
      <c r="F307" t="inlineStr">
        <is>
          <t>JÖNKÖPINGS LÄN</t>
        </is>
      </c>
      <c r="G307" t="inlineStr">
        <is>
          <t>NÄSSJÖ</t>
        </is>
      </c>
      <c r="I307" t="n">
        <v>1.5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s="2" t="inlineStr"/>
    </row>
    <row r="308" ht="15" customHeight="1">
      <c r="A308" t="inlineStr">
        <is>
          <t>A 2431-2023</t>
        </is>
      </c>
      <c r="B308" t="inlineStr">
        <is>
          <t>avverkningsanmälan</t>
        </is>
      </c>
      <c r="C308" t="inlineStr">
        <is>
          <t>Föryngringsavverkning</t>
        </is>
      </c>
      <c r="D308" s="1" t="n">
        <v>44939</v>
      </c>
      <c r="E308" s="1" t="n">
        <v>46322</v>
      </c>
      <c r="F308" t="inlineStr">
        <is>
          <t>JÖNKÖPINGS LÄN</t>
        </is>
      </c>
      <c r="G308" t="inlineStr">
        <is>
          <t>NÄSSJÖ</t>
        </is>
      </c>
      <c r="I308" t="n">
        <v>0.5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s="2" t="inlineStr"/>
    </row>
    <row r="309" ht="15" customHeight="1">
      <c r="A309" t="inlineStr">
        <is>
          <t>A 30377-2026</t>
        </is>
      </c>
      <c r="B309" t="inlineStr">
        <is>
          <t>avverkningsanmälan</t>
        </is>
      </c>
      <c r="C309" t="inlineStr">
        <is>
          <t>Föryngringsavverkning</t>
        </is>
      </c>
      <c r="D309" s="1" t="n">
        <v>46209</v>
      </c>
      <c r="E309" s="1" t="n">
        <v>46322</v>
      </c>
      <c r="F309" t="inlineStr">
        <is>
          <t>JÖNKÖPINGS LÄN</t>
        </is>
      </c>
      <c r="G309" t="inlineStr">
        <is>
          <t>NÄSSJÖ</t>
        </is>
      </c>
      <c r="H309" t="inlineStr">
        <is>
          <t>Sveaskog</t>
        </is>
      </c>
      <c r="I309" t="n">
        <v>2.3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s="2" t="inlineStr"/>
    </row>
    <row r="310" ht="15" customHeight="1">
      <c r="A310" t="inlineStr">
        <is>
          <t>A 7086-2024</t>
        </is>
      </c>
      <c r="B310" t="inlineStr">
        <is>
          <t>avverkningsanmälan</t>
        </is>
      </c>
      <c r="C310" t="inlineStr">
        <is>
          <t>Föryngringsavverkning</t>
        </is>
      </c>
      <c r="D310" s="1" t="n">
        <v>45343</v>
      </c>
      <c r="E310" s="1" t="n">
        <v>46322</v>
      </c>
      <c r="F310" t="inlineStr">
        <is>
          <t>JÖNKÖPINGS LÄN</t>
        </is>
      </c>
      <c r="G310" t="inlineStr">
        <is>
          <t>NÄSSJÖ</t>
        </is>
      </c>
      <c r="I310" t="n">
        <v>0.8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s="2" t="inlineStr"/>
    </row>
    <row r="311" ht="15" customHeight="1">
      <c r="A311" t="inlineStr">
        <is>
          <t>A 7554-2026</t>
        </is>
      </c>
      <c r="B311" t="inlineStr">
        <is>
          <t>avverkningsanmälan</t>
        </is>
      </c>
      <c r="C311" t="inlineStr">
        <is>
          <t>Föryngringsavverkning</t>
        </is>
      </c>
      <c r="D311" s="1" t="n">
        <v>46059</v>
      </c>
      <c r="E311" s="1" t="n">
        <v>46322</v>
      </c>
      <c r="F311" t="inlineStr">
        <is>
          <t>JÖNKÖPINGS LÄN</t>
        </is>
      </c>
      <c r="G311" t="inlineStr">
        <is>
          <t>NÄSSJÖ</t>
        </is>
      </c>
      <c r="I311" t="n">
        <v>0.6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s="2" t="inlineStr"/>
    </row>
    <row r="312" ht="15" customHeight="1">
      <c r="A312" t="inlineStr">
        <is>
          <t>A 30376-2026</t>
        </is>
      </c>
      <c r="B312" t="inlineStr">
        <is>
          <t>avverkningsanmälan</t>
        </is>
      </c>
      <c r="C312" t="inlineStr">
        <is>
          <t>Föryngringsavverkning</t>
        </is>
      </c>
      <c r="D312" s="1" t="n">
        <v>46209</v>
      </c>
      <c r="E312" s="1" t="n">
        <v>46322</v>
      </c>
      <c r="F312" t="inlineStr">
        <is>
          <t>JÖNKÖPINGS LÄN</t>
        </is>
      </c>
      <c r="G312" t="inlineStr">
        <is>
          <t>NÄSSJÖ</t>
        </is>
      </c>
      <c r="H312" t="inlineStr">
        <is>
          <t>Sveaskog</t>
        </is>
      </c>
      <c r="I312" t="n">
        <v>0.7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s="2" t="inlineStr"/>
    </row>
    <row r="313" ht="15" customHeight="1">
      <c r="A313" t="inlineStr">
        <is>
          <t>A 30372-2026</t>
        </is>
      </c>
      <c r="B313" t="inlineStr">
        <is>
          <t>avverkningsanmälan</t>
        </is>
      </c>
      <c r="C313" t="inlineStr">
        <is>
          <t>Föryngringsavverkning</t>
        </is>
      </c>
      <c r="D313" s="1" t="n">
        <v>46209</v>
      </c>
      <c r="E313" s="1" t="n">
        <v>46322</v>
      </c>
      <c r="F313" t="inlineStr">
        <is>
          <t>JÖNKÖPINGS LÄN</t>
        </is>
      </c>
      <c r="G313" t="inlineStr">
        <is>
          <t>NÄSSJÖ</t>
        </is>
      </c>
      <c r="H313" t="inlineStr">
        <is>
          <t>Sveaskog</t>
        </is>
      </c>
      <c r="I313" t="n">
        <v>4.9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s="2" t="inlineStr"/>
    </row>
    <row r="314" ht="15" customHeight="1">
      <c r="A314" t="inlineStr">
        <is>
          <t>A 30375-2026</t>
        </is>
      </c>
      <c r="B314" t="inlineStr">
        <is>
          <t>avverkningsanmälan</t>
        </is>
      </c>
      <c r="C314" t="inlineStr">
        <is>
          <t>Föryngringsavverkning</t>
        </is>
      </c>
      <c r="D314" s="1" t="n">
        <v>46209</v>
      </c>
      <c r="E314" s="1" t="n">
        <v>46322</v>
      </c>
      <c r="F314" t="inlineStr">
        <is>
          <t>JÖNKÖPINGS LÄN</t>
        </is>
      </c>
      <c r="G314" t="inlineStr">
        <is>
          <t>NÄSSJÖ</t>
        </is>
      </c>
      <c r="H314" t="inlineStr">
        <is>
          <t>Sveaskog</t>
        </is>
      </c>
      <c r="I314" t="n">
        <v>1.3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s="2" t="inlineStr"/>
    </row>
    <row r="315" ht="15" customHeight="1">
      <c r="A315" t="inlineStr">
        <is>
          <t>A 30379-2026</t>
        </is>
      </c>
      <c r="B315" t="inlineStr">
        <is>
          <t>avverkningsanmälan</t>
        </is>
      </c>
      <c r="C315" t="inlineStr">
        <is>
          <t>Föryngringsavverkning</t>
        </is>
      </c>
      <c r="D315" s="1" t="n">
        <v>46209</v>
      </c>
      <c r="E315" s="1" t="n">
        <v>46322</v>
      </c>
      <c r="F315" t="inlineStr">
        <is>
          <t>JÖNKÖPINGS LÄN</t>
        </is>
      </c>
      <c r="G315" t="inlineStr">
        <is>
          <t>NÄSSJÖ</t>
        </is>
      </c>
      <c r="H315" t="inlineStr">
        <is>
          <t>Sveaskog</t>
        </is>
      </c>
      <c r="I315" t="n">
        <v>2.7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s="2" t="inlineStr"/>
    </row>
    <row r="316" ht="15" customHeight="1">
      <c r="A316" t="inlineStr">
        <is>
          <t>A 30382-2026</t>
        </is>
      </c>
      <c r="B316" t="inlineStr">
        <is>
          <t>avverkningsanmälan</t>
        </is>
      </c>
      <c r="C316" t="inlineStr">
        <is>
          <t>Avverkning för att bevara och utveckla /försöksver</t>
        </is>
      </c>
      <c r="D316" s="1" t="n">
        <v>46209</v>
      </c>
      <c r="E316" s="1" t="n">
        <v>46322</v>
      </c>
      <c r="F316" t="inlineStr">
        <is>
          <t>JÖNKÖPINGS LÄN</t>
        </is>
      </c>
      <c r="G316" t="inlineStr">
        <is>
          <t>NÄSSJÖ</t>
        </is>
      </c>
      <c r="H316" t="inlineStr">
        <is>
          <t>Sveaskog</t>
        </is>
      </c>
      <c r="I316" t="n">
        <v>1.8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s="2" t="inlineStr"/>
    </row>
    <row r="317" ht="15" customHeight="1">
      <c r="A317" t="inlineStr">
        <is>
          <t>A 7591-2026</t>
        </is>
      </c>
      <c r="B317" t="inlineStr">
        <is>
          <t>avverkningsanmälan</t>
        </is>
      </c>
      <c r="C317" t="inlineStr">
        <is>
          <t>Föryngringsavverkning</t>
        </is>
      </c>
      <c r="D317" s="1" t="n">
        <v>46061</v>
      </c>
      <c r="E317" s="1" t="n">
        <v>46322</v>
      </c>
      <c r="F317" t="inlineStr">
        <is>
          <t>JÖNKÖPINGS LÄN</t>
        </is>
      </c>
      <c r="G317" t="inlineStr">
        <is>
          <t>NÄSSJÖ</t>
        </is>
      </c>
      <c r="I317" t="n">
        <v>1.3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s="2" t="inlineStr"/>
    </row>
    <row r="318" ht="15" customHeight="1">
      <c r="A318" t="inlineStr">
        <is>
          <t>A 8212-2022</t>
        </is>
      </c>
      <c r="B318" t="inlineStr">
        <is>
          <t>avverkningsanmälan</t>
        </is>
      </c>
      <c r="C318" t="inlineStr">
        <is>
          <t>Föryngringsavverkning</t>
        </is>
      </c>
      <c r="D318" s="1" t="n">
        <v>44609</v>
      </c>
      <c r="E318" s="1" t="n">
        <v>46322</v>
      </c>
      <c r="F318" t="inlineStr">
        <is>
          <t>JÖNKÖPINGS LÄN</t>
        </is>
      </c>
      <c r="G318" t="inlineStr">
        <is>
          <t>NÄSSJÖ</t>
        </is>
      </c>
      <c r="I318" t="n">
        <v>1.5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s="2" t="inlineStr"/>
    </row>
    <row r="319" ht="15" customHeight="1">
      <c r="A319" t="inlineStr">
        <is>
          <t>A 24577-2023</t>
        </is>
      </c>
      <c r="B319" t="inlineStr">
        <is>
          <t>avverkningsanmälan</t>
        </is>
      </c>
      <c r="C319" t="inlineStr">
        <is>
          <t>Föryngringsavverkning</t>
        </is>
      </c>
      <c r="D319" s="1" t="n">
        <v>45083</v>
      </c>
      <c r="E319" s="1" t="n">
        <v>46322</v>
      </c>
      <c r="F319" t="inlineStr">
        <is>
          <t>JÖNKÖPINGS LÄN</t>
        </is>
      </c>
      <c r="G319" t="inlineStr">
        <is>
          <t>NÄSSJÖ</t>
        </is>
      </c>
      <c r="I319" t="n">
        <v>0.9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s="2" t="inlineStr"/>
    </row>
    <row r="320" ht="15" customHeight="1">
      <c r="A320" t="inlineStr">
        <is>
          <t>A 44400-2024</t>
        </is>
      </c>
      <c r="B320" t="inlineStr">
        <is>
          <t>avverkningsanmälan</t>
        </is>
      </c>
      <c r="C320" t="inlineStr">
        <is>
          <t>Föryngringsavverkning</t>
        </is>
      </c>
      <c r="D320" s="1" t="n">
        <v>45573</v>
      </c>
      <c r="E320" s="1" t="n">
        <v>46322</v>
      </c>
      <c r="F320" t="inlineStr">
        <is>
          <t>JÖNKÖPINGS LÄN</t>
        </is>
      </c>
      <c r="G320" t="inlineStr">
        <is>
          <t>NÄSSJÖ</t>
        </is>
      </c>
      <c r="I320" t="n">
        <v>3.8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s="2" t="inlineStr"/>
    </row>
    <row r="321" ht="15" customHeight="1">
      <c r="A321" t="inlineStr">
        <is>
          <t>A 3181-2023</t>
        </is>
      </c>
      <c r="B321" t="inlineStr">
        <is>
          <t>avverkningsanmälan</t>
        </is>
      </c>
      <c r="C321" t="inlineStr">
        <is>
          <t>Föryngringsavverkning</t>
        </is>
      </c>
      <c r="D321" s="1" t="n">
        <v>44946</v>
      </c>
      <c r="E321" s="1" t="n">
        <v>46322</v>
      </c>
      <c r="F321" t="inlineStr">
        <is>
          <t>JÖNKÖPINGS LÄN</t>
        </is>
      </c>
      <c r="G321" t="inlineStr">
        <is>
          <t>NÄSSJÖ</t>
        </is>
      </c>
      <c r="I321" t="n">
        <v>0.6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s="2" t="inlineStr"/>
    </row>
    <row r="322" ht="15" customHeight="1">
      <c r="A322" t="inlineStr">
        <is>
          <t>A 30838-2026</t>
        </is>
      </c>
      <c r="B322" t="inlineStr">
        <is>
          <t>avverkningsanmälan</t>
        </is>
      </c>
      <c r="C322" t="inlineStr">
        <is>
          <t>Föryngringsavverkning</t>
        </is>
      </c>
      <c r="D322" s="1" t="n">
        <v>46212</v>
      </c>
      <c r="E322" s="1" t="n">
        <v>46322</v>
      </c>
      <c r="F322" t="inlineStr">
        <is>
          <t>JÖNKÖPINGS LÄN</t>
        </is>
      </c>
      <c r="G322" t="inlineStr">
        <is>
          <t>NÄSSJÖ</t>
        </is>
      </c>
      <c r="I322" t="n">
        <v>0.9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s="2" t="inlineStr"/>
    </row>
    <row r="323" ht="15" customHeight="1">
      <c r="A323" t="inlineStr">
        <is>
          <t>A 24501-2024</t>
        </is>
      </c>
      <c r="B323" t="inlineStr">
        <is>
          <t>avverkningsanmälan</t>
        </is>
      </c>
      <c r="C323" t="inlineStr">
        <is>
          <t>Föryngringsavverkning</t>
        </is>
      </c>
      <c r="D323" s="1" t="n">
        <v>45460</v>
      </c>
      <c r="E323" s="1" t="n">
        <v>46322</v>
      </c>
      <c r="F323" t="inlineStr">
        <is>
          <t>JÖNKÖPINGS LÄN</t>
        </is>
      </c>
      <c r="G323" t="inlineStr">
        <is>
          <t>NÄSSJÖ</t>
        </is>
      </c>
      <c r="I323" t="n">
        <v>0.6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s="2" t="inlineStr"/>
    </row>
    <row r="324" ht="15" customHeight="1">
      <c r="A324" t="inlineStr">
        <is>
          <t>A 52241-2022</t>
        </is>
      </c>
      <c r="B324" t="inlineStr">
        <is>
          <t>avverkningsanmälan</t>
        </is>
      </c>
      <c r="C324" t="inlineStr">
        <is>
          <t>Föryngringsavverkning</t>
        </is>
      </c>
      <c r="D324" s="1" t="n">
        <v>44873</v>
      </c>
      <c r="E324" s="1" t="n">
        <v>46322</v>
      </c>
      <c r="F324" t="inlineStr">
        <is>
          <t>JÖNKÖPINGS LÄN</t>
        </is>
      </c>
      <c r="G324" t="inlineStr">
        <is>
          <t>NÄSSJÖ</t>
        </is>
      </c>
      <c r="I324" t="n">
        <v>0.9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s="2" t="inlineStr"/>
    </row>
    <row r="325" ht="15" customHeight="1">
      <c r="A325" t="inlineStr">
        <is>
          <t>A 11020-2024</t>
        </is>
      </c>
      <c r="B325" t="inlineStr">
        <is>
          <t>avverkningsanmälan</t>
        </is>
      </c>
      <c r="C325" t="inlineStr">
        <is>
          <t>Föryngringsavverkning</t>
        </is>
      </c>
      <c r="D325" s="1" t="n">
        <v>45370</v>
      </c>
      <c r="E325" s="1" t="n">
        <v>46322</v>
      </c>
      <c r="F325" t="inlineStr">
        <is>
          <t>JÖNKÖPINGS LÄN</t>
        </is>
      </c>
      <c r="G325" t="inlineStr">
        <is>
          <t>NÄSSJÖ</t>
        </is>
      </c>
      <c r="I325" t="n">
        <v>1.1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s="2" t="inlineStr"/>
    </row>
    <row r="326" ht="15" customHeight="1">
      <c r="A326" t="inlineStr">
        <is>
          <t>A 9647-2026</t>
        </is>
      </c>
      <c r="B326" t="inlineStr">
        <is>
          <t>avverkningsanmälan</t>
        </is>
      </c>
      <c r="C326" t="inlineStr">
        <is>
          <t>Föryngringsavverkning</t>
        </is>
      </c>
      <c r="D326" s="1" t="n">
        <v>46070</v>
      </c>
      <c r="E326" s="1" t="n">
        <v>46322</v>
      </c>
      <c r="F326" t="inlineStr">
        <is>
          <t>JÖNKÖPINGS LÄN</t>
        </is>
      </c>
      <c r="G326" t="inlineStr">
        <is>
          <t>NÄSSJÖ</t>
        </is>
      </c>
      <c r="H326" t="inlineStr">
        <is>
          <t>Kyrkan</t>
        </is>
      </c>
      <c r="I326" t="n">
        <v>2.8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s="2" t="inlineStr"/>
    </row>
    <row r="327" ht="15" customHeight="1">
      <c r="A327" t="inlineStr">
        <is>
          <t>A 5230-2022</t>
        </is>
      </c>
      <c r="B327" t="inlineStr">
        <is>
          <t>avverkningsanmälan</t>
        </is>
      </c>
      <c r="C327" t="inlineStr">
        <is>
          <t>Föryngringsavverkning</t>
        </is>
      </c>
      <c r="D327" s="1" t="n">
        <v>44594</v>
      </c>
      <c r="E327" s="1" t="n">
        <v>46322</v>
      </c>
      <c r="F327" t="inlineStr">
        <is>
          <t>JÖNKÖPINGS LÄN</t>
        </is>
      </c>
      <c r="G327" t="inlineStr">
        <is>
          <t>NÄSSJÖ</t>
        </is>
      </c>
      <c r="I327" t="n">
        <v>1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s="2" t="inlineStr"/>
    </row>
    <row r="328" ht="15" customHeight="1">
      <c r="A328" t="inlineStr">
        <is>
          <t>A 17391-2025</t>
        </is>
      </c>
      <c r="B328" t="inlineStr">
        <is>
          <t>avverkningsanmälan</t>
        </is>
      </c>
      <c r="C328" t="inlineStr">
        <is>
          <t>Föryngringsavverkning</t>
        </is>
      </c>
      <c r="D328" s="1" t="n">
        <v>45757</v>
      </c>
      <c r="E328" s="1" t="n">
        <v>46322</v>
      </c>
      <c r="F328" t="inlineStr">
        <is>
          <t>JÖNKÖPINGS LÄN</t>
        </is>
      </c>
      <c r="G328" t="inlineStr">
        <is>
          <t>NÄSSJÖ</t>
        </is>
      </c>
      <c r="I328" t="n">
        <v>3.5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s="2" t="inlineStr"/>
    </row>
    <row r="329" ht="15" customHeight="1">
      <c r="A329" t="inlineStr">
        <is>
          <t>A 24574-2023</t>
        </is>
      </c>
      <c r="B329" t="inlineStr">
        <is>
          <t>avverkningsanmälan</t>
        </is>
      </c>
      <c r="C329" t="inlineStr">
        <is>
          <t>Föryngringsavverkning</t>
        </is>
      </c>
      <c r="D329" s="1" t="n">
        <v>45083</v>
      </c>
      <c r="E329" s="1" t="n">
        <v>46322</v>
      </c>
      <c r="F329" t="inlineStr">
        <is>
          <t>JÖNKÖPINGS LÄN</t>
        </is>
      </c>
      <c r="G329" t="inlineStr">
        <is>
          <t>NÄSSJÖ</t>
        </is>
      </c>
      <c r="I329" t="n">
        <v>2.9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s="2" t="inlineStr"/>
    </row>
    <row r="330" ht="15" customHeight="1">
      <c r="A330" t="inlineStr">
        <is>
          <t>A 9451-2024</t>
        </is>
      </c>
      <c r="B330" t="inlineStr">
        <is>
          <t>avverkningsanmälan</t>
        </is>
      </c>
      <c r="C330" t="inlineStr">
        <is>
          <t>Föryngringsavverkning</t>
        </is>
      </c>
      <c r="D330" s="1" t="n">
        <v>45358</v>
      </c>
      <c r="E330" s="1" t="n">
        <v>46322</v>
      </c>
      <c r="F330" t="inlineStr">
        <is>
          <t>JÖNKÖPINGS LÄN</t>
        </is>
      </c>
      <c r="G330" t="inlineStr">
        <is>
          <t>NÄSSJÖ</t>
        </is>
      </c>
      <c r="I330" t="n">
        <v>0.5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s="2" t="inlineStr"/>
    </row>
    <row r="331" ht="15" customHeight="1">
      <c r="A331" t="inlineStr">
        <is>
          <t>A 9595-2026</t>
        </is>
      </c>
      <c r="B331" t="inlineStr">
        <is>
          <t>avverkningsanmälan</t>
        </is>
      </c>
      <c r="C331" t="inlineStr">
        <is>
          <t>Föryngringsavverkning</t>
        </is>
      </c>
      <c r="D331" s="1" t="n">
        <v>46071</v>
      </c>
      <c r="E331" s="1" t="n">
        <v>46322</v>
      </c>
      <c r="F331" t="inlineStr">
        <is>
          <t>JÖNKÖPINGS LÄN</t>
        </is>
      </c>
      <c r="G331" t="inlineStr">
        <is>
          <t>NÄSSJÖ</t>
        </is>
      </c>
      <c r="I331" t="n">
        <v>1.5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s="2" t="inlineStr"/>
    </row>
    <row r="332" ht="15" customHeight="1">
      <c r="A332" t="inlineStr">
        <is>
          <t>A 9596-2026</t>
        </is>
      </c>
      <c r="B332" t="inlineStr">
        <is>
          <t>avverkningsanmälan</t>
        </is>
      </c>
      <c r="C332" t="inlineStr">
        <is>
          <t>Föryngringsavverkning</t>
        </is>
      </c>
      <c r="D332" s="1" t="n">
        <v>46071</v>
      </c>
      <c r="E332" s="1" t="n">
        <v>46322</v>
      </c>
      <c r="F332" t="inlineStr">
        <is>
          <t>JÖNKÖPINGS LÄN</t>
        </is>
      </c>
      <c r="G332" t="inlineStr">
        <is>
          <t>NÄSSJÖ</t>
        </is>
      </c>
      <c r="I332" t="n">
        <v>1.1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s="2" t="inlineStr"/>
    </row>
    <row r="333" ht="15" customHeight="1">
      <c r="A333" t="inlineStr">
        <is>
          <t>A 50195-2023</t>
        </is>
      </c>
      <c r="B333" t="inlineStr">
        <is>
          <t>avverkningsanmälan</t>
        </is>
      </c>
      <c r="C333" t="inlineStr">
        <is>
          <t>Föryngringsavverkning</t>
        </is>
      </c>
      <c r="D333" s="1" t="n">
        <v>45215</v>
      </c>
      <c r="E333" s="1" t="n">
        <v>46322</v>
      </c>
      <c r="F333" t="inlineStr">
        <is>
          <t>JÖNKÖPINGS LÄN</t>
        </is>
      </c>
      <c r="G333" t="inlineStr">
        <is>
          <t>NÄSSJÖ</t>
        </is>
      </c>
      <c r="I333" t="n">
        <v>1.1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s="2" t="inlineStr"/>
    </row>
    <row r="334" ht="15" customHeight="1">
      <c r="A334" t="inlineStr">
        <is>
          <t>A 10387-2024</t>
        </is>
      </c>
      <c r="B334" t="inlineStr">
        <is>
          <t>avverkningsanmälan</t>
        </is>
      </c>
      <c r="C334" t="inlineStr">
        <is>
          <t>Föryngringsavverkning</t>
        </is>
      </c>
      <c r="D334" s="1" t="n">
        <v>45365</v>
      </c>
      <c r="E334" s="1" t="n">
        <v>46322</v>
      </c>
      <c r="F334" t="inlineStr">
        <is>
          <t>JÖNKÖPINGS LÄN</t>
        </is>
      </c>
      <c r="G334" t="inlineStr">
        <is>
          <t>NÄSSJÖ</t>
        </is>
      </c>
      <c r="I334" t="n">
        <v>3.4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s="2" t="inlineStr"/>
    </row>
    <row r="335" ht="15" customHeight="1">
      <c r="A335" t="inlineStr">
        <is>
          <t>A 10408-2024</t>
        </is>
      </c>
      <c r="B335" t="inlineStr">
        <is>
          <t>avverkningsanmälan</t>
        </is>
      </c>
      <c r="C335" t="inlineStr">
        <is>
          <t>Föryngringsavverkning</t>
        </is>
      </c>
      <c r="D335" s="1" t="n">
        <v>45365</v>
      </c>
      <c r="E335" s="1" t="n">
        <v>46322</v>
      </c>
      <c r="F335" t="inlineStr">
        <is>
          <t>JÖNKÖPINGS LÄN</t>
        </is>
      </c>
      <c r="G335" t="inlineStr">
        <is>
          <t>NÄSSJÖ</t>
        </is>
      </c>
      <c r="I335" t="n">
        <v>1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s="2" t="inlineStr"/>
    </row>
    <row r="336" ht="15" customHeight="1">
      <c r="A336" t="inlineStr">
        <is>
          <t>A 10109-2026</t>
        </is>
      </c>
      <c r="B336" t="inlineStr">
        <is>
          <t>avverkningsanmälan</t>
        </is>
      </c>
      <c r="C336" t="inlineStr">
        <is>
          <t>Föryngringsavverkning</t>
        </is>
      </c>
      <c r="D336" s="1" t="n">
        <v>46074</v>
      </c>
      <c r="E336" s="1" t="n">
        <v>46322</v>
      </c>
      <c r="F336" t="inlineStr">
        <is>
          <t>JÖNKÖPINGS LÄN</t>
        </is>
      </c>
      <c r="G336" t="inlineStr">
        <is>
          <t>NÄSSJÖ</t>
        </is>
      </c>
      <c r="I336" t="n">
        <v>2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s="2" t="inlineStr"/>
    </row>
    <row r="337" ht="15" customHeight="1">
      <c r="A337" t="inlineStr">
        <is>
          <t>A 3169-2023</t>
        </is>
      </c>
      <c r="B337" t="inlineStr">
        <is>
          <t>avverkningsanmälan</t>
        </is>
      </c>
      <c r="C337" t="inlineStr">
        <is>
          <t>Föryngringsavverkning</t>
        </is>
      </c>
      <c r="D337" s="1" t="n">
        <v>44946</v>
      </c>
      <c r="E337" s="1" t="n">
        <v>46322</v>
      </c>
      <c r="F337" t="inlineStr">
        <is>
          <t>JÖNKÖPINGS LÄN</t>
        </is>
      </c>
      <c r="G337" t="inlineStr">
        <is>
          <t>NÄSSJÖ</t>
        </is>
      </c>
      <c r="I337" t="n">
        <v>9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s="2" t="inlineStr"/>
    </row>
    <row r="338" ht="15" customHeight="1">
      <c r="A338" t="inlineStr">
        <is>
          <t>A 5888-2024</t>
        </is>
      </c>
      <c r="B338" t="inlineStr">
        <is>
          <t>avverkningsanmälan</t>
        </is>
      </c>
      <c r="C338" t="inlineStr">
        <is>
          <t>Föryngringsavverkning</t>
        </is>
      </c>
      <c r="D338" s="1" t="n">
        <v>45335</v>
      </c>
      <c r="E338" s="1" t="n">
        <v>46322</v>
      </c>
      <c r="F338" t="inlineStr">
        <is>
          <t>JÖNKÖPINGS LÄN</t>
        </is>
      </c>
      <c r="G338" t="inlineStr">
        <is>
          <t>NÄSSJÖ</t>
        </is>
      </c>
      <c r="I338" t="n">
        <v>1.2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s="2" t="inlineStr"/>
    </row>
    <row r="339" ht="15" customHeight="1">
      <c r="A339" t="inlineStr">
        <is>
          <t>A 4574-2023</t>
        </is>
      </c>
      <c r="B339" t="inlineStr">
        <is>
          <t>avverkningsanmälan</t>
        </is>
      </c>
      <c r="C339" t="inlineStr">
        <is>
          <t>Föryngringsavverkning</t>
        </is>
      </c>
      <c r="D339" s="1" t="n">
        <v>44956</v>
      </c>
      <c r="E339" s="1" t="n">
        <v>46322</v>
      </c>
      <c r="F339" t="inlineStr">
        <is>
          <t>JÖNKÖPINGS LÄN</t>
        </is>
      </c>
      <c r="G339" t="inlineStr">
        <is>
          <t>NÄSSJÖ</t>
        </is>
      </c>
      <c r="I339" t="n">
        <v>1.6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s="2" t="inlineStr"/>
    </row>
    <row r="340" ht="15" customHeight="1">
      <c r="A340" t="inlineStr">
        <is>
          <t>A 57988-2024</t>
        </is>
      </c>
      <c r="B340" t="inlineStr">
        <is>
          <t>avverkningsanmälan</t>
        </is>
      </c>
      <c r="C340" t="inlineStr">
        <is>
          <t>Föryngringsavverkning</t>
        </is>
      </c>
      <c r="D340" s="1" t="n">
        <v>45631</v>
      </c>
      <c r="E340" s="1" t="n">
        <v>46322</v>
      </c>
      <c r="F340" t="inlineStr">
        <is>
          <t>JÖNKÖPINGS LÄN</t>
        </is>
      </c>
      <c r="G340" t="inlineStr">
        <is>
          <t>NÄSSJÖ</t>
        </is>
      </c>
      <c r="I340" t="n">
        <v>2.6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s="2" t="inlineStr"/>
    </row>
    <row r="341" ht="15" customHeight="1">
      <c r="A341" t="inlineStr">
        <is>
          <t>A 29403-2023</t>
        </is>
      </c>
      <c r="B341" t="inlineStr">
        <is>
          <t>avverkningsanmälan</t>
        </is>
      </c>
      <c r="C341" t="inlineStr">
        <is>
          <t>Föryngringsavverkning</t>
        </is>
      </c>
      <c r="D341" s="1" t="n">
        <v>45106</v>
      </c>
      <c r="E341" s="1" t="n">
        <v>46322</v>
      </c>
      <c r="F341" t="inlineStr">
        <is>
          <t>JÖNKÖPINGS LÄN</t>
        </is>
      </c>
      <c r="G341" t="inlineStr">
        <is>
          <t>NÄSSJÖ</t>
        </is>
      </c>
      <c r="I341" t="n">
        <v>2.1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s="2" t="inlineStr"/>
    </row>
    <row r="342" ht="15" customHeight="1">
      <c r="A342" t="inlineStr">
        <is>
          <t>A 17038-2024</t>
        </is>
      </c>
      <c r="B342" t="inlineStr">
        <is>
          <t>avverkningsanmälan</t>
        </is>
      </c>
      <c r="C342" t="inlineStr">
        <is>
          <t>Föryngringsavverkning</t>
        </is>
      </c>
      <c r="D342" s="1" t="n">
        <v>45412</v>
      </c>
      <c r="E342" s="1" t="n">
        <v>46322</v>
      </c>
      <c r="F342" t="inlineStr">
        <is>
          <t>JÖNKÖPINGS LÄN</t>
        </is>
      </c>
      <c r="G342" t="inlineStr">
        <is>
          <t>NÄSSJÖ</t>
        </is>
      </c>
      <c r="I342" t="n">
        <v>6.6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s="2" t="inlineStr"/>
    </row>
    <row r="343" ht="15" customHeight="1">
      <c r="A343" t="inlineStr">
        <is>
          <t>A 1014-2026</t>
        </is>
      </c>
      <c r="B343" t="inlineStr">
        <is>
          <t>avverkningsanmälan</t>
        </is>
      </c>
      <c r="C343" t="inlineStr">
        <is>
          <t>Föryngringsavverkning</t>
        </is>
      </c>
      <c r="D343" s="1" t="n">
        <v>46029</v>
      </c>
      <c r="E343" s="1" t="n">
        <v>46322</v>
      </c>
      <c r="F343" t="inlineStr">
        <is>
          <t>JÖNKÖPINGS LÄN</t>
        </is>
      </c>
      <c r="G343" t="inlineStr">
        <is>
          <t>NÄSSJÖ</t>
        </is>
      </c>
      <c r="I343" t="n">
        <v>3.9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s="2" t="inlineStr"/>
    </row>
    <row r="344" ht="15" customHeight="1">
      <c r="A344" t="inlineStr">
        <is>
          <t>A 11117-2026</t>
        </is>
      </c>
      <c r="B344" t="inlineStr">
        <is>
          <t>avverkningsanmälan</t>
        </is>
      </c>
      <c r="C344" t="inlineStr">
        <is>
          <t>Föryngringsavverkning</t>
        </is>
      </c>
      <c r="D344" s="1" t="n">
        <v>46079</v>
      </c>
      <c r="E344" s="1" t="n">
        <v>46322</v>
      </c>
      <c r="F344" t="inlineStr">
        <is>
          <t>JÖNKÖPINGS LÄN</t>
        </is>
      </c>
      <c r="G344" t="inlineStr">
        <is>
          <t>NÄSSJÖ</t>
        </is>
      </c>
      <c r="H344" t="inlineStr">
        <is>
          <t>Kyrkan</t>
        </is>
      </c>
      <c r="I344" t="n">
        <v>0.4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s="2" t="inlineStr"/>
    </row>
    <row r="345" ht="15" customHeight="1">
      <c r="A345" t="inlineStr">
        <is>
          <t>A 997-2026</t>
        </is>
      </c>
      <c r="B345" t="inlineStr">
        <is>
          <t>avverkningsanmälan</t>
        </is>
      </c>
      <c r="C345" t="inlineStr">
        <is>
          <t>Föryngringsavverkning</t>
        </is>
      </c>
      <c r="D345" s="1" t="n">
        <v>46029</v>
      </c>
      <c r="E345" s="1" t="n">
        <v>46322</v>
      </c>
      <c r="F345" t="inlineStr">
        <is>
          <t>JÖNKÖPINGS LÄN</t>
        </is>
      </c>
      <c r="G345" t="inlineStr">
        <is>
          <t>NÄSSJÖ</t>
        </is>
      </c>
      <c r="I345" t="n">
        <v>3.4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s="2" t="inlineStr"/>
    </row>
    <row r="346" ht="15" customHeight="1">
      <c r="A346" t="inlineStr">
        <is>
          <t>A 50488-2024</t>
        </is>
      </c>
      <c r="B346" t="inlineStr">
        <is>
          <t>avverkningsanmälan</t>
        </is>
      </c>
      <c r="C346" t="inlineStr">
        <is>
          <t>Föryngringsavverkning</t>
        </is>
      </c>
      <c r="D346" s="1" t="n">
        <v>45601</v>
      </c>
      <c r="E346" s="1" t="n">
        <v>46322</v>
      </c>
      <c r="F346" t="inlineStr">
        <is>
          <t>JÖNKÖPINGS LÄN</t>
        </is>
      </c>
      <c r="G346" t="inlineStr">
        <is>
          <t>NÄSSJÖ</t>
        </is>
      </c>
      <c r="I346" t="n">
        <v>4.3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s="2" t="inlineStr"/>
    </row>
    <row r="347" ht="15" customHeight="1">
      <c r="A347" t="inlineStr">
        <is>
          <t>A 39197-2023</t>
        </is>
      </c>
      <c r="B347" t="inlineStr">
        <is>
          <t>avverkningsanmälan</t>
        </is>
      </c>
      <c r="C347" t="inlineStr">
        <is>
          <t>Föryngringsavverkning</t>
        </is>
      </c>
      <c r="D347" s="1" t="n">
        <v>45162</v>
      </c>
      <c r="E347" s="1" t="n">
        <v>46322</v>
      </c>
      <c r="F347" t="inlineStr">
        <is>
          <t>JÖNKÖPINGS LÄN</t>
        </is>
      </c>
      <c r="G347" t="inlineStr">
        <is>
          <t>NÄSSJÖ</t>
        </is>
      </c>
      <c r="I347" t="n">
        <v>5.3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s="2" t="inlineStr"/>
    </row>
    <row r="348" ht="15" customHeight="1">
      <c r="A348" t="inlineStr">
        <is>
          <t>A 28568-2026</t>
        </is>
      </c>
      <c r="B348" t="inlineStr">
        <is>
          <t>avverkningsanmälan</t>
        </is>
      </c>
      <c r="C348" t="inlineStr">
        <is>
          <t>Föryngringsavverkning</t>
        </is>
      </c>
      <c r="D348" s="1" t="n">
        <v>46197</v>
      </c>
      <c r="E348" s="1" t="n">
        <v>46322</v>
      </c>
      <c r="F348" t="inlineStr">
        <is>
          <t>JÖNKÖPINGS LÄN</t>
        </is>
      </c>
      <c r="G348" t="inlineStr">
        <is>
          <t>NÄSSJÖ</t>
        </is>
      </c>
      <c r="I348" t="n">
        <v>1.1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s="2" t="inlineStr"/>
    </row>
    <row r="349" ht="15" customHeight="1">
      <c r="A349" t="inlineStr">
        <is>
          <t>A 12564-2026</t>
        </is>
      </c>
      <c r="B349" t="inlineStr">
        <is>
          <t>avverkningsanmälan</t>
        </is>
      </c>
      <c r="C349" t="inlineStr">
        <is>
          <t>Föryngringsavverkning</t>
        </is>
      </c>
      <c r="D349" s="1" t="n">
        <v>46090</v>
      </c>
      <c r="E349" s="1" t="n">
        <v>46322</v>
      </c>
      <c r="F349" t="inlineStr">
        <is>
          <t>JÖNKÖPINGS LÄN</t>
        </is>
      </c>
      <c r="G349" t="inlineStr">
        <is>
          <t>NÄSSJÖ</t>
        </is>
      </c>
      <c r="I349" t="n">
        <v>2.8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s="2" t="inlineStr"/>
    </row>
    <row r="350" ht="15" customHeight="1">
      <c r="A350" t="inlineStr">
        <is>
          <t>A 9279-2023</t>
        </is>
      </c>
      <c r="B350" t="inlineStr">
        <is>
          <t>avverkningsanmälan</t>
        </is>
      </c>
      <c r="C350" t="inlineStr">
        <is>
          <t>Föryngringsavverkning</t>
        </is>
      </c>
      <c r="D350" s="1" t="n">
        <v>44980</v>
      </c>
      <c r="E350" s="1" t="n">
        <v>46322</v>
      </c>
      <c r="F350" t="inlineStr">
        <is>
          <t>JÖNKÖPINGS LÄN</t>
        </is>
      </c>
      <c r="G350" t="inlineStr">
        <is>
          <t>NÄSSJÖ</t>
        </is>
      </c>
      <c r="I350" t="n">
        <v>1.3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s="2" t="inlineStr"/>
    </row>
    <row r="351" ht="15" customHeight="1">
      <c r="A351" t="inlineStr">
        <is>
          <t>A 9622-2024</t>
        </is>
      </c>
      <c r="B351" t="inlineStr">
        <is>
          <t>avverkningsanmälan</t>
        </is>
      </c>
      <c r="C351" t="inlineStr">
        <is>
          <t>Föryngringsavverkning</t>
        </is>
      </c>
      <c r="D351" s="1" t="n">
        <v>45361</v>
      </c>
      <c r="E351" s="1" t="n">
        <v>46322</v>
      </c>
      <c r="F351" t="inlineStr">
        <is>
          <t>JÖNKÖPINGS LÄN</t>
        </is>
      </c>
      <c r="G351" t="inlineStr">
        <is>
          <t>NÄSSJÖ</t>
        </is>
      </c>
      <c r="I351" t="n">
        <v>2.2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s="2" t="inlineStr"/>
    </row>
    <row r="352" ht="15" customHeight="1">
      <c r="A352" t="inlineStr">
        <is>
          <t>A 71606-2021</t>
        </is>
      </c>
      <c r="B352" t="inlineStr">
        <is>
          <t>avverkningsanmälan</t>
        </is>
      </c>
      <c r="C352" t="inlineStr">
        <is>
          <t>Föryngringsavverkning</t>
        </is>
      </c>
      <c r="D352" s="1" t="n">
        <v>44541</v>
      </c>
      <c r="E352" s="1" t="n">
        <v>46322</v>
      </c>
      <c r="F352" t="inlineStr">
        <is>
          <t>JÖNKÖPINGS LÄN</t>
        </is>
      </c>
      <c r="G352" t="inlineStr">
        <is>
          <t>NÄSSJÖ</t>
        </is>
      </c>
      <c r="I352" t="n">
        <v>2.7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s="2" t="inlineStr"/>
    </row>
    <row r="353" ht="15" customHeight="1">
      <c r="A353" t="inlineStr">
        <is>
          <t>A 12652-2026</t>
        </is>
      </c>
      <c r="B353" t="inlineStr">
        <is>
          <t>avverkningsanmälan</t>
        </is>
      </c>
      <c r="C353" t="inlineStr">
        <is>
          <t>Avverkning för att bevara och utveckla /försöksver</t>
        </is>
      </c>
      <c r="D353" s="1" t="n">
        <v>46091</v>
      </c>
      <c r="E353" s="1" t="n">
        <v>46322</v>
      </c>
      <c r="F353" t="inlineStr">
        <is>
          <t>JÖNKÖPINGS LÄN</t>
        </is>
      </c>
      <c r="G353" t="inlineStr">
        <is>
          <t>NÄSSJÖ</t>
        </is>
      </c>
      <c r="I353" t="n">
        <v>1.7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s="2" t="inlineStr"/>
    </row>
    <row r="354" ht="15" customHeight="1">
      <c r="A354" t="inlineStr">
        <is>
          <t>A 12647-2026</t>
        </is>
      </c>
      <c r="B354" t="inlineStr">
        <is>
          <t>avverkningsanmälan</t>
        </is>
      </c>
      <c r="C354" t="inlineStr">
        <is>
          <t>Föryngringsavverkning</t>
        </is>
      </c>
      <c r="D354" s="1" t="n">
        <v>46091</v>
      </c>
      <c r="E354" s="1" t="n">
        <v>46322</v>
      </c>
      <c r="F354" t="inlineStr">
        <is>
          <t>JÖNKÖPINGS LÄN</t>
        </is>
      </c>
      <c r="G354" t="inlineStr">
        <is>
          <t>NÄSSJÖ</t>
        </is>
      </c>
      <c r="I354" t="n">
        <v>1.8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s="2" t="inlineStr"/>
    </row>
    <row r="355" ht="15" customHeight="1">
      <c r="A355" t="inlineStr">
        <is>
          <t>A 50812-2022</t>
        </is>
      </c>
      <c r="B355" t="inlineStr">
        <is>
          <t>avverkningsanmälan</t>
        </is>
      </c>
      <c r="C355" t="inlineStr">
        <is>
          <t>Föryngringsavverkning</t>
        </is>
      </c>
      <c r="D355" s="1" t="n">
        <v>44867</v>
      </c>
      <c r="E355" s="1" t="n">
        <v>46322</v>
      </c>
      <c r="F355" t="inlineStr">
        <is>
          <t>JÖNKÖPINGS LÄN</t>
        </is>
      </c>
      <c r="G355" t="inlineStr">
        <is>
          <t>NÄSSJÖ</t>
        </is>
      </c>
      <c r="I355" t="n">
        <v>0.5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s="2" t="inlineStr"/>
    </row>
    <row r="356" ht="15" customHeight="1">
      <c r="A356" t="inlineStr">
        <is>
          <t>A 52250-2022</t>
        </is>
      </c>
      <c r="B356" t="inlineStr">
        <is>
          <t>avverkningsanmälan</t>
        </is>
      </c>
      <c r="C356" t="inlineStr">
        <is>
          <t>Föryngringsavverkning</t>
        </is>
      </c>
      <c r="D356" s="1" t="n">
        <v>44873</v>
      </c>
      <c r="E356" s="1" t="n">
        <v>46322</v>
      </c>
      <c r="F356" t="inlineStr">
        <is>
          <t>JÖNKÖPINGS LÄN</t>
        </is>
      </c>
      <c r="G356" t="inlineStr">
        <is>
          <t>NÄSSJÖ</t>
        </is>
      </c>
      <c r="I356" t="n">
        <v>1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s="2" t="inlineStr"/>
    </row>
    <row r="357" ht="15" customHeight="1">
      <c r="A357" t="inlineStr">
        <is>
          <t>A 13036-2026</t>
        </is>
      </c>
      <c r="B357" t="inlineStr">
        <is>
          <t>avverkningsanmälan</t>
        </is>
      </c>
      <c r="C357" t="inlineStr">
        <is>
          <t>Föryngringsavverkning</t>
        </is>
      </c>
      <c r="D357" s="1" t="n">
        <v>46093</v>
      </c>
      <c r="E357" s="1" t="n">
        <v>46322</v>
      </c>
      <c r="F357" t="inlineStr">
        <is>
          <t>JÖNKÖPINGS LÄN</t>
        </is>
      </c>
      <c r="G357" t="inlineStr">
        <is>
          <t>NÄSSJÖ</t>
        </is>
      </c>
      <c r="I357" t="n">
        <v>0.5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s="2" t="inlineStr"/>
    </row>
    <row r="358" ht="15" customHeight="1">
      <c r="A358" t="inlineStr">
        <is>
          <t>A 13037-2026</t>
        </is>
      </c>
      <c r="B358" t="inlineStr">
        <is>
          <t>avverkningsanmälan</t>
        </is>
      </c>
      <c r="C358" t="inlineStr">
        <is>
          <t>Föryngringsavverkning</t>
        </is>
      </c>
      <c r="D358" s="1" t="n">
        <v>46093</v>
      </c>
      <c r="E358" s="1" t="n">
        <v>46322</v>
      </c>
      <c r="F358" t="inlineStr">
        <is>
          <t>JÖNKÖPINGS LÄN</t>
        </is>
      </c>
      <c r="G358" t="inlineStr">
        <is>
          <t>NÄSSJÖ</t>
        </is>
      </c>
      <c r="I358" t="n">
        <v>0.6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s="2" t="inlineStr"/>
    </row>
    <row r="359" ht="15" customHeight="1">
      <c r="A359" t="inlineStr">
        <is>
          <t>A 31679-2022</t>
        </is>
      </c>
      <c r="B359" t="inlineStr">
        <is>
          <t>avverkningsanmälan</t>
        </is>
      </c>
      <c r="C359" t="inlineStr">
        <is>
          <t>Föryngringsavverkning</t>
        </is>
      </c>
      <c r="D359" s="1" t="n">
        <v>44776</v>
      </c>
      <c r="E359" s="1" t="n">
        <v>46322</v>
      </c>
      <c r="F359" t="inlineStr">
        <is>
          <t>JÖNKÖPINGS LÄN</t>
        </is>
      </c>
      <c r="G359" t="inlineStr">
        <is>
          <t>NÄSSJÖ</t>
        </is>
      </c>
      <c r="I359" t="n">
        <v>1.4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s="2" t="inlineStr"/>
    </row>
    <row r="360" ht="15" customHeight="1">
      <c r="A360" t="inlineStr">
        <is>
          <t>A 13852-2026</t>
        </is>
      </c>
      <c r="B360" t="inlineStr">
        <is>
          <t>avverkningsanmälan</t>
        </is>
      </c>
      <c r="C360" t="inlineStr">
        <is>
          <t>Föryngringsavverkning</t>
        </is>
      </c>
      <c r="D360" s="1" t="n">
        <v>46098</v>
      </c>
      <c r="E360" s="1" t="n">
        <v>46322</v>
      </c>
      <c r="F360" t="inlineStr">
        <is>
          <t>JÖNKÖPINGS LÄN</t>
        </is>
      </c>
      <c r="G360" t="inlineStr">
        <is>
          <t>NÄSSJÖ</t>
        </is>
      </c>
      <c r="I360" t="n">
        <v>0.6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s="2" t="inlineStr"/>
    </row>
    <row r="361" ht="15" customHeight="1">
      <c r="A361" t="inlineStr">
        <is>
          <t>A 4639-2024</t>
        </is>
      </c>
      <c r="B361" t="inlineStr">
        <is>
          <t>avverkningsanmälan</t>
        </is>
      </c>
      <c r="C361" t="inlineStr">
        <is>
          <t>Föryngringsavverkning</t>
        </is>
      </c>
      <c r="D361" s="1" t="n">
        <v>45328</v>
      </c>
      <c r="E361" s="1" t="n">
        <v>46322</v>
      </c>
      <c r="F361" t="inlineStr">
        <is>
          <t>JÖNKÖPINGS LÄN</t>
        </is>
      </c>
      <c r="G361" t="inlineStr">
        <is>
          <t>NÄSSJÖ</t>
        </is>
      </c>
      <c r="I361" t="n">
        <v>0.5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s="2" t="inlineStr"/>
    </row>
    <row r="362" ht="15" customHeight="1">
      <c r="A362" t="inlineStr">
        <is>
          <t>A 63741-2023</t>
        </is>
      </c>
      <c r="B362" t="inlineStr">
        <is>
          <t>avverkningsanmälan</t>
        </is>
      </c>
      <c r="C362" t="inlineStr">
        <is>
          <t>Föryngringsavverkning</t>
        </is>
      </c>
      <c r="D362" s="1" t="n">
        <v>45277</v>
      </c>
      <c r="E362" s="1" t="n">
        <v>46322</v>
      </c>
      <c r="F362" t="inlineStr">
        <is>
          <t>JÖNKÖPINGS LÄN</t>
        </is>
      </c>
      <c r="G362" t="inlineStr">
        <is>
          <t>NÄSSJÖ</t>
        </is>
      </c>
      <c r="I362" t="n">
        <v>1.8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s="2" t="inlineStr"/>
    </row>
    <row r="363" ht="15" customHeight="1">
      <c r="A363" t="inlineStr">
        <is>
          <t>A 14486-2026</t>
        </is>
      </c>
      <c r="B363" t="inlineStr">
        <is>
          <t>avverkningsanmälan</t>
        </is>
      </c>
      <c r="C363" t="inlineStr">
        <is>
          <t>Föryngringsavverkning</t>
        </is>
      </c>
      <c r="D363" s="1" t="n">
        <v>46100</v>
      </c>
      <c r="E363" s="1" t="n">
        <v>46322</v>
      </c>
      <c r="F363" t="inlineStr">
        <is>
          <t>JÖNKÖPINGS LÄN</t>
        </is>
      </c>
      <c r="G363" t="inlineStr">
        <is>
          <t>NÄSSJÖ</t>
        </is>
      </c>
      <c r="I363" t="n">
        <v>1.3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s="2" t="inlineStr"/>
    </row>
    <row r="364" ht="15" customHeight="1">
      <c r="A364" t="inlineStr">
        <is>
          <t>A 14787-2025</t>
        </is>
      </c>
      <c r="B364" t="inlineStr">
        <is>
          <t>avverkningsanmälan</t>
        </is>
      </c>
      <c r="C364" t="inlineStr">
        <is>
          <t>Föryngringsavverkning</t>
        </is>
      </c>
      <c r="D364" s="1" t="n">
        <v>45742</v>
      </c>
      <c r="E364" s="1" t="n">
        <v>46322</v>
      </c>
      <c r="F364" t="inlineStr">
        <is>
          <t>JÖNKÖPINGS LÄN</t>
        </is>
      </c>
      <c r="G364" t="inlineStr">
        <is>
          <t>NÄSSJÖ</t>
        </is>
      </c>
      <c r="I364" t="n">
        <v>0.5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s="2" t="inlineStr"/>
    </row>
    <row r="365" ht="15" customHeight="1">
      <c r="A365" t="inlineStr">
        <is>
          <t>A 14831-2026</t>
        </is>
      </c>
      <c r="B365" t="inlineStr">
        <is>
          <t>avverkningsanmälan</t>
        </is>
      </c>
      <c r="C365" t="inlineStr">
        <is>
          <t>Föryngringsavverkning</t>
        </is>
      </c>
      <c r="D365" s="1" t="n">
        <v>46104</v>
      </c>
      <c r="E365" s="1" t="n">
        <v>46322</v>
      </c>
      <c r="F365" t="inlineStr">
        <is>
          <t>JÖNKÖPINGS LÄN</t>
        </is>
      </c>
      <c r="G365" t="inlineStr">
        <is>
          <t>NÄSSJÖ</t>
        </is>
      </c>
      <c r="H365" t="inlineStr">
        <is>
          <t>Kommuner</t>
        </is>
      </c>
      <c r="I365" t="n">
        <v>3.1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s="2" t="inlineStr"/>
    </row>
    <row r="366" ht="15" customHeight="1">
      <c r="A366" t="inlineStr">
        <is>
          <t>A 14721-2026</t>
        </is>
      </c>
      <c r="B366" t="inlineStr">
        <is>
          <t>avverkningsanmälan</t>
        </is>
      </c>
      <c r="C366" t="inlineStr">
        <is>
          <t>Föryngringsavverkning</t>
        </is>
      </c>
      <c r="D366" s="1" t="n">
        <v>46101</v>
      </c>
      <c r="E366" s="1" t="n">
        <v>46322</v>
      </c>
      <c r="F366" t="inlineStr">
        <is>
          <t>JÖNKÖPINGS LÄN</t>
        </is>
      </c>
      <c r="G366" t="inlineStr">
        <is>
          <t>NÄSSJÖ</t>
        </is>
      </c>
      <c r="H366" t="inlineStr">
        <is>
          <t>Kommuner</t>
        </is>
      </c>
      <c r="I366" t="n">
        <v>8.5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s="2" t="inlineStr"/>
    </row>
    <row r="367" ht="15" customHeight="1">
      <c r="A367" t="inlineStr">
        <is>
          <t>A 22783-2024</t>
        </is>
      </c>
      <c r="B367" t="inlineStr">
        <is>
          <t>avverkningsanmälan</t>
        </is>
      </c>
      <c r="C367" t="inlineStr">
        <is>
          <t>Föryngringsavverkning</t>
        </is>
      </c>
      <c r="D367" s="1" t="n">
        <v>45448</v>
      </c>
      <c r="E367" s="1" t="n">
        <v>46322</v>
      </c>
      <c r="F367" t="inlineStr">
        <is>
          <t>JÖNKÖPINGS LÄN</t>
        </is>
      </c>
      <c r="G367" t="inlineStr">
        <is>
          <t>NÄSSJÖ</t>
        </is>
      </c>
      <c r="I367" t="n">
        <v>2.6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s="2" t="inlineStr"/>
    </row>
    <row r="368" ht="15" customHeight="1">
      <c r="A368" t="inlineStr">
        <is>
          <t>A 14724-2026</t>
        </is>
      </c>
      <c r="B368" t="inlineStr">
        <is>
          <t>avverkningsanmälan</t>
        </is>
      </c>
      <c r="C368" t="inlineStr">
        <is>
          <t>Föryngringsavverkning</t>
        </is>
      </c>
      <c r="D368" s="1" t="n">
        <v>46101</v>
      </c>
      <c r="E368" s="1" t="n">
        <v>46322</v>
      </c>
      <c r="F368" t="inlineStr">
        <is>
          <t>JÖNKÖPINGS LÄN</t>
        </is>
      </c>
      <c r="G368" t="inlineStr">
        <is>
          <t>NÄSSJÖ</t>
        </is>
      </c>
      <c r="H368" t="inlineStr">
        <is>
          <t>Kommuner</t>
        </is>
      </c>
      <c r="I368" t="n">
        <v>2.6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s="2" t="inlineStr"/>
    </row>
    <row r="369" ht="15" customHeight="1">
      <c r="A369" t="inlineStr">
        <is>
          <t>A 14835-2024</t>
        </is>
      </c>
      <c r="B369" t="inlineStr">
        <is>
          <t>avverkningsanmälan</t>
        </is>
      </c>
      <c r="C369" t="inlineStr">
        <is>
          <t>Föryngringsavverkning</t>
        </is>
      </c>
      <c r="D369" s="1" t="n">
        <v>45398</v>
      </c>
      <c r="E369" s="1" t="n">
        <v>46322</v>
      </c>
      <c r="F369" t="inlineStr">
        <is>
          <t>JÖNKÖPINGS LÄN</t>
        </is>
      </c>
      <c r="G369" t="inlineStr">
        <is>
          <t>NÄSSJÖ</t>
        </is>
      </c>
      <c r="I369" t="n">
        <v>0.7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s="2" t="inlineStr"/>
    </row>
    <row r="370" ht="15" customHeight="1">
      <c r="A370" t="inlineStr">
        <is>
          <t>A 15171-2026</t>
        </is>
      </c>
      <c r="B370" t="inlineStr">
        <is>
          <t>avverkningsanmälan</t>
        </is>
      </c>
      <c r="C370" t="inlineStr">
        <is>
          <t>Föryngringsavverkning</t>
        </is>
      </c>
      <c r="D370" s="1" t="n">
        <v>46105</v>
      </c>
      <c r="E370" s="1" t="n">
        <v>46322</v>
      </c>
      <c r="F370" t="inlineStr">
        <is>
          <t>JÖNKÖPINGS LÄN</t>
        </is>
      </c>
      <c r="G370" t="inlineStr">
        <is>
          <t>NÄSSJÖ</t>
        </is>
      </c>
      <c r="I370" t="n">
        <v>5.1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s="2" t="inlineStr"/>
    </row>
    <row r="371" ht="15" customHeight="1">
      <c r="A371" t="inlineStr">
        <is>
          <t>A 41319-2022</t>
        </is>
      </c>
      <c r="B371" t="inlineStr">
        <is>
          <t>avverkningsanmälan</t>
        </is>
      </c>
      <c r="C371" t="inlineStr">
        <is>
          <t>Föryngringsavverkning</t>
        </is>
      </c>
      <c r="D371" s="1" t="n">
        <v>44826</v>
      </c>
      <c r="E371" s="1" t="n">
        <v>46322</v>
      </c>
      <c r="F371" t="inlineStr">
        <is>
          <t>JÖNKÖPINGS LÄN</t>
        </is>
      </c>
      <c r="G371" t="inlineStr">
        <is>
          <t>NÄSSJÖ</t>
        </is>
      </c>
      <c r="I371" t="n">
        <v>2.7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s="2" t="inlineStr"/>
    </row>
    <row r="372" ht="15" customHeight="1">
      <c r="A372" t="inlineStr">
        <is>
          <t>A 41324-2022</t>
        </is>
      </c>
      <c r="B372" t="inlineStr">
        <is>
          <t>avverkningsanmälan</t>
        </is>
      </c>
      <c r="C372" t="inlineStr">
        <is>
          <t>Föryngringsavverkning</t>
        </is>
      </c>
      <c r="D372" s="1" t="n">
        <v>44826</v>
      </c>
      <c r="E372" s="1" t="n">
        <v>46322</v>
      </c>
      <c r="F372" t="inlineStr">
        <is>
          <t>JÖNKÖPINGS LÄN</t>
        </is>
      </c>
      <c r="G372" t="inlineStr">
        <is>
          <t>NÄSSJÖ</t>
        </is>
      </c>
      <c r="I372" t="n">
        <v>0.9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s="2" t="inlineStr"/>
    </row>
    <row r="373" ht="15" customHeight="1">
      <c r="A373" t="inlineStr">
        <is>
          <t>A 7151-2025</t>
        </is>
      </c>
      <c r="B373" t="inlineStr">
        <is>
          <t>avverkningsanmälan</t>
        </is>
      </c>
      <c r="C373" t="inlineStr">
        <is>
          <t>Föryngringsavverkning</t>
        </is>
      </c>
      <c r="D373" s="1" t="n">
        <v>45702</v>
      </c>
      <c r="E373" s="1" t="n">
        <v>46322</v>
      </c>
      <c r="F373" t="inlineStr">
        <is>
          <t>JÖNKÖPINGS LÄN</t>
        </is>
      </c>
      <c r="G373" t="inlineStr">
        <is>
          <t>NÄSSJÖ</t>
        </is>
      </c>
      <c r="I373" t="n">
        <v>1.3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s="2" t="inlineStr"/>
    </row>
    <row r="374" ht="15" customHeight="1">
      <c r="A374" t="inlineStr">
        <is>
          <t>A 15172-2026</t>
        </is>
      </c>
      <c r="B374" t="inlineStr">
        <is>
          <t>avverkningsanmälan</t>
        </is>
      </c>
      <c r="C374" t="inlineStr">
        <is>
          <t>Föryngringsavverkning</t>
        </is>
      </c>
      <c r="D374" s="1" t="n">
        <v>46105</v>
      </c>
      <c r="E374" s="1" t="n">
        <v>46322</v>
      </c>
      <c r="F374" t="inlineStr">
        <is>
          <t>JÖNKÖPINGS LÄN</t>
        </is>
      </c>
      <c r="G374" t="inlineStr">
        <is>
          <t>NÄSSJÖ</t>
        </is>
      </c>
      <c r="I374" t="n">
        <v>1.5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s="2" t="inlineStr"/>
    </row>
    <row r="375" ht="15" customHeight="1">
      <c r="A375" t="inlineStr">
        <is>
          <t>A 15990-2026</t>
        </is>
      </c>
      <c r="B375" t="inlineStr">
        <is>
          <t>avverkningsanmälan</t>
        </is>
      </c>
      <c r="C375" t="inlineStr">
        <is>
          <t>Föryngringsavverkning</t>
        </is>
      </c>
      <c r="D375" s="1" t="n">
        <v>46108</v>
      </c>
      <c r="E375" s="1" t="n">
        <v>46322</v>
      </c>
      <c r="F375" t="inlineStr">
        <is>
          <t>JÖNKÖPINGS LÄN</t>
        </is>
      </c>
      <c r="G375" t="inlineStr">
        <is>
          <t>NÄSSJÖ</t>
        </is>
      </c>
      <c r="I375" t="n">
        <v>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s="2" t="inlineStr"/>
    </row>
    <row r="376" ht="15" customHeight="1">
      <c r="A376" t="inlineStr">
        <is>
          <t>A 16413-2026</t>
        </is>
      </c>
      <c r="B376" t="inlineStr">
        <is>
          <t>avverkningsanmälan</t>
        </is>
      </c>
      <c r="C376" t="inlineStr">
        <is>
          <t>Föryngringsavverkning</t>
        </is>
      </c>
      <c r="D376" s="1" t="n">
        <v>46111</v>
      </c>
      <c r="E376" s="1" t="n">
        <v>46322</v>
      </c>
      <c r="F376" t="inlineStr">
        <is>
          <t>JÖNKÖPINGS LÄN</t>
        </is>
      </c>
      <c r="G376" t="inlineStr">
        <is>
          <t>NÄSSJÖ</t>
        </is>
      </c>
      <c r="I376" t="n">
        <v>4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s="2" t="inlineStr"/>
    </row>
    <row r="377" ht="15" customHeight="1">
      <c r="A377" t="inlineStr">
        <is>
          <t>A 49665-2023</t>
        </is>
      </c>
      <c r="B377" t="inlineStr">
        <is>
          <t>avverkningsanmälan</t>
        </is>
      </c>
      <c r="C377" t="inlineStr">
        <is>
          <t>Föryngringsavverkning</t>
        </is>
      </c>
      <c r="D377" s="1" t="n">
        <v>45212</v>
      </c>
      <c r="E377" s="1" t="n">
        <v>46322</v>
      </c>
      <c r="F377" t="inlineStr">
        <is>
          <t>JÖNKÖPINGS LÄN</t>
        </is>
      </c>
      <c r="G377" t="inlineStr">
        <is>
          <t>NÄSSJÖ</t>
        </is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s="2" t="inlineStr"/>
    </row>
    <row r="378" ht="15" customHeight="1">
      <c r="A378" t="inlineStr">
        <is>
          <t>A 9962-2024</t>
        </is>
      </c>
      <c r="B378" t="inlineStr">
        <is>
          <t>avverkningsanmälan</t>
        </is>
      </c>
      <c r="C378" t="inlineStr">
        <is>
          <t>Föryngringsavverkning</t>
        </is>
      </c>
      <c r="D378" s="1" t="n">
        <v>45363</v>
      </c>
      <c r="E378" s="1" t="n">
        <v>46322</v>
      </c>
      <c r="F378" t="inlineStr">
        <is>
          <t>JÖNKÖPINGS LÄN</t>
        </is>
      </c>
      <c r="G378" t="inlineStr">
        <is>
          <t>NÄSSJÖ</t>
        </is>
      </c>
      <c r="H378" t="inlineStr">
        <is>
          <t>Kommuner</t>
        </is>
      </c>
      <c r="I378" t="n">
        <v>2.9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s="2" t="inlineStr"/>
    </row>
    <row r="379" ht="15" customHeight="1">
      <c r="A379" t="inlineStr">
        <is>
          <t>A 14018-2023</t>
        </is>
      </c>
      <c r="B379" t="inlineStr">
        <is>
          <t>avverkningsanmälan</t>
        </is>
      </c>
      <c r="C379" t="inlineStr">
        <is>
          <t>Föryngringsavverkning</t>
        </is>
      </c>
      <c r="D379" s="1" t="n">
        <v>45008</v>
      </c>
      <c r="E379" s="1" t="n">
        <v>46322</v>
      </c>
      <c r="F379" t="inlineStr">
        <is>
          <t>JÖNKÖPINGS LÄN</t>
        </is>
      </c>
      <c r="G379" t="inlineStr">
        <is>
          <t>NÄSSJÖ</t>
        </is>
      </c>
      <c r="I379" t="n">
        <v>0.9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s="2" t="inlineStr"/>
    </row>
    <row r="380" ht="15" customHeight="1">
      <c r="A380" t="inlineStr">
        <is>
          <t>A 13912-2024</t>
        </is>
      </c>
      <c r="B380" t="inlineStr">
        <is>
          <t>avverkningsanmälan</t>
        </is>
      </c>
      <c r="C380" t="inlineStr">
        <is>
          <t>Föryngringsavverkning</t>
        </is>
      </c>
      <c r="D380" s="1" t="n">
        <v>45391</v>
      </c>
      <c r="E380" s="1" t="n">
        <v>46322</v>
      </c>
      <c r="F380" t="inlineStr">
        <is>
          <t>JÖNKÖPINGS LÄN</t>
        </is>
      </c>
      <c r="G380" t="inlineStr">
        <is>
          <t>NÄSSJÖ</t>
        </is>
      </c>
      <c r="I380" t="n">
        <v>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s="2" t="inlineStr"/>
    </row>
    <row r="381" ht="15" customHeight="1">
      <c r="A381" t="inlineStr">
        <is>
          <t>A 13914-2024</t>
        </is>
      </c>
      <c r="B381" t="inlineStr">
        <is>
          <t>avverkningsanmälan</t>
        </is>
      </c>
      <c r="C381" t="inlineStr">
        <is>
          <t>Föryngringsavverkning</t>
        </is>
      </c>
      <c r="D381" s="1" t="n">
        <v>45391</v>
      </c>
      <c r="E381" s="1" t="n">
        <v>46322</v>
      </c>
      <c r="F381" t="inlineStr">
        <is>
          <t>JÖNKÖPINGS LÄN</t>
        </is>
      </c>
      <c r="G381" t="inlineStr">
        <is>
          <t>NÄSSJÖ</t>
        </is>
      </c>
      <c r="I381" t="n">
        <v>3.2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s="2" t="inlineStr"/>
    </row>
    <row r="382" ht="15" customHeight="1">
      <c r="A382" t="inlineStr">
        <is>
          <t>A 16749-2026</t>
        </is>
      </c>
      <c r="B382" t="inlineStr">
        <is>
          <t>avverkningsanmälan</t>
        </is>
      </c>
      <c r="C382" t="inlineStr">
        <is>
          <t>Föryngringsavverkning</t>
        </is>
      </c>
      <c r="D382" s="1" t="n">
        <v>46113</v>
      </c>
      <c r="E382" s="1" t="n">
        <v>46322</v>
      </c>
      <c r="F382" t="inlineStr">
        <is>
          <t>JÖNKÖPINGS LÄN</t>
        </is>
      </c>
      <c r="G382" t="inlineStr">
        <is>
          <t>NÄSSJÖ</t>
        </is>
      </c>
      <c r="H382" t="inlineStr">
        <is>
          <t>Kommuner</t>
        </is>
      </c>
      <c r="I382" t="n">
        <v>1.7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s="2" t="inlineStr"/>
    </row>
    <row r="383" ht="15" customHeight="1">
      <c r="A383" t="inlineStr">
        <is>
          <t>A 557-2024</t>
        </is>
      </c>
      <c r="B383" t="inlineStr">
        <is>
          <t>avverkningsanmälan</t>
        </is>
      </c>
      <c r="C383" t="inlineStr">
        <is>
          <t>Föryngringsavverkning</t>
        </is>
      </c>
      <c r="D383" s="1" t="n">
        <v>45299</v>
      </c>
      <c r="E383" s="1" t="n">
        <v>46322</v>
      </c>
      <c r="F383" t="inlineStr">
        <is>
          <t>JÖNKÖPINGS LÄN</t>
        </is>
      </c>
      <c r="G383" t="inlineStr">
        <is>
          <t>NÄSSJÖ</t>
        </is>
      </c>
      <c r="I383" t="n">
        <v>1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s="2" t="inlineStr"/>
    </row>
    <row r="384" ht="15" customHeight="1">
      <c r="A384" t="inlineStr">
        <is>
          <t>A 17477-2026</t>
        </is>
      </c>
      <c r="B384" t="inlineStr">
        <is>
          <t>avverkningsanmälan</t>
        </is>
      </c>
      <c r="C384" t="inlineStr">
        <is>
          <t>Föryngringsavverkning</t>
        </is>
      </c>
      <c r="D384" s="1" t="n">
        <v>46120</v>
      </c>
      <c r="E384" s="1" t="n">
        <v>46322</v>
      </c>
      <c r="F384" t="inlineStr">
        <is>
          <t>JÖNKÖPINGS LÄN</t>
        </is>
      </c>
      <c r="G384" t="inlineStr">
        <is>
          <t>NÄSSJÖ</t>
        </is>
      </c>
      <c r="I384" t="n">
        <v>1.3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s="2" t="inlineStr"/>
    </row>
    <row r="385" ht="15" customHeight="1">
      <c r="A385" t="inlineStr">
        <is>
          <t>A 33533-2023</t>
        </is>
      </c>
      <c r="B385" t="inlineStr">
        <is>
          <t>avverkningsanmälan</t>
        </is>
      </c>
      <c r="C385" t="inlineStr">
        <is>
          <t>Föryngringsavverkning</t>
        </is>
      </c>
      <c r="D385" s="1" t="n">
        <v>45118</v>
      </c>
      <c r="E385" s="1" t="n">
        <v>46322</v>
      </c>
      <c r="F385" t="inlineStr">
        <is>
          <t>JÖNKÖPINGS LÄN</t>
        </is>
      </c>
      <c r="G385" t="inlineStr">
        <is>
          <t>NÄSSJÖ</t>
        </is>
      </c>
      <c r="I385" t="n">
        <v>3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s="2" t="inlineStr"/>
    </row>
    <row r="386" ht="15" customHeight="1">
      <c r="A386" t="inlineStr">
        <is>
          <t>A 38346-2026</t>
        </is>
      </c>
      <c r="B386" t="inlineStr">
        <is>
          <t>avverkningsanmälan</t>
        </is>
      </c>
      <c r="C386" t="inlineStr">
        <is>
          <t>Föryngringsavverkning</t>
        </is>
      </c>
      <c r="D386" s="1" t="n">
        <v>46282</v>
      </c>
      <c r="E386" s="1" t="n">
        <v>46322</v>
      </c>
      <c r="F386" t="inlineStr">
        <is>
          <t>JÖNKÖPINGS LÄN</t>
        </is>
      </c>
      <c r="G386" t="inlineStr">
        <is>
          <t>NÄSSJÖ</t>
        </is>
      </c>
      <c r="I386" t="n">
        <v>3.6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s="2" t="inlineStr"/>
    </row>
    <row r="387" ht="15" customHeight="1">
      <c r="A387" t="inlineStr">
        <is>
          <t>A 241-2023</t>
        </is>
      </c>
      <c r="B387" t="inlineStr">
        <is>
          <t>avverkningsanmälan</t>
        </is>
      </c>
      <c r="C387" t="inlineStr">
        <is>
          <t>Föryngringsavverkning</t>
        </is>
      </c>
      <c r="D387" s="1" t="n">
        <v>44928</v>
      </c>
      <c r="E387" s="1" t="n">
        <v>46322</v>
      </c>
      <c r="F387" t="inlineStr">
        <is>
          <t>JÖNKÖPINGS LÄN</t>
        </is>
      </c>
      <c r="G387" t="inlineStr">
        <is>
          <t>NÄSSJÖ</t>
        </is>
      </c>
      <c r="I387" t="n">
        <v>0.4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s="2" t="inlineStr"/>
    </row>
    <row r="388" ht="15" customHeight="1">
      <c r="A388" t="inlineStr">
        <is>
          <t>A 64057-2023</t>
        </is>
      </c>
      <c r="B388" t="inlineStr">
        <is>
          <t>avverkningsanmälan</t>
        </is>
      </c>
      <c r="C388" t="inlineStr">
        <is>
          <t>Föryngringsavverkning</t>
        </is>
      </c>
      <c r="D388" s="1" t="n">
        <v>45279</v>
      </c>
      <c r="E388" s="1" t="n">
        <v>46322</v>
      </c>
      <c r="F388" t="inlineStr">
        <is>
          <t>JÖNKÖPINGS LÄN</t>
        </is>
      </c>
      <c r="G388" t="inlineStr">
        <is>
          <t>NÄSSJÖ</t>
        </is>
      </c>
      <c r="I388" t="n">
        <v>1.3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s="2" t="inlineStr"/>
    </row>
    <row r="389" ht="15" customHeight="1">
      <c r="A389" t="inlineStr">
        <is>
          <t>A 44151-2023</t>
        </is>
      </c>
      <c r="B389" t="inlineStr">
        <is>
          <t>avverkningsanmälan</t>
        </is>
      </c>
      <c r="C389" t="inlineStr">
        <is>
          <t>Föryngringsavverkning</t>
        </is>
      </c>
      <c r="D389" s="1" t="n">
        <v>45188</v>
      </c>
      <c r="E389" s="1" t="n">
        <v>46322</v>
      </c>
      <c r="F389" t="inlineStr">
        <is>
          <t>JÖNKÖPINGS LÄN</t>
        </is>
      </c>
      <c r="G389" t="inlineStr">
        <is>
          <t>NÄSSJÖ</t>
        </is>
      </c>
      <c r="I389" t="n">
        <v>0.7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s="2" t="inlineStr"/>
    </row>
    <row r="390" ht="15" customHeight="1">
      <c r="A390" t="inlineStr">
        <is>
          <t>A 36604-2022</t>
        </is>
      </c>
      <c r="B390" t="inlineStr">
        <is>
          <t>avverkningsanmälan</t>
        </is>
      </c>
      <c r="C390" t="inlineStr">
        <is>
          <t>Föryngringsavverkning</t>
        </is>
      </c>
      <c r="D390" s="1" t="n">
        <v>44804</v>
      </c>
      <c r="E390" s="1" t="n">
        <v>46322</v>
      </c>
      <c r="F390" t="inlineStr">
        <is>
          <t>JÖNKÖPINGS LÄN</t>
        </is>
      </c>
      <c r="G390" t="inlineStr">
        <is>
          <t>NÄSSJÖ</t>
        </is>
      </c>
      <c r="I390" t="n">
        <v>4.1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s="2" t="inlineStr"/>
    </row>
    <row r="391" ht="15" customHeight="1">
      <c r="A391" t="inlineStr">
        <is>
          <t>A 56411-2024</t>
        </is>
      </c>
      <c r="B391" t="inlineStr">
        <is>
          <t>avverkningsanmälan</t>
        </is>
      </c>
      <c r="C391" t="inlineStr">
        <is>
          <t>Avverkning för annat ändamål</t>
        </is>
      </c>
      <c r="D391" s="1" t="n">
        <v>45625</v>
      </c>
      <c r="E391" s="1" t="n">
        <v>46322</v>
      </c>
      <c r="F391" t="inlineStr">
        <is>
          <t>JÖNKÖPINGS LÄN</t>
        </is>
      </c>
      <c r="G391" t="inlineStr">
        <is>
          <t>NÄSSJÖ</t>
        </is>
      </c>
      <c r="I391" t="n">
        <v>3.6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s="2" t="inlineStr"/>
    </row>
    <row r="392" ht="15" customHeight="1">
      <c r="A392" t="inlineStr">
        <is>
          <t>A 60838-2024</t>
        </is>
      </c>
      <c r="B392" t="inlineStr">
        <is>
          <t>avverkningsanmälan</t>
        </is>
      </c>
      <c r="C392" t="inlineStr">
        <is>
          <t>Föryngringsavverkning</t>
        </is>
      </c>
      <c r="D392" s="1" t="n">
        <v>45644</v>
      </c>
      <c r="E392" s="1" t="n">
        <v>46322</v>
      </c>
      <c r="F392" t="inlineStr">
        <is>
          <t>JÖNKÖPINGS LÄN</t>
        </is>
      </c>
      <c r="G392" t="inlineStr">
        <is>
          <t>NÄSSJÖ</t>
        </is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s="2" t="inlineStr"/>
    </row>
    <row r="393" ht="15" customHeight="1">
      <c r="A393" t="inlineStr">
        <is>
          <t>A 18609-2026</t>
        </is>
      </c>
      <c r="B393" t="inlineStr">
        <is>
          <t>avverkningsanmälan</t>
        </is>
      </c>
      <c r="C393" t="inlineStr">
        <is>
          <t>Föryngringsavverkning</t>
        </is>
      </c>
      <c r="D393" s="1" t="n">
        <v>46127</v>
      </c>
      <c r="E393" s="1" t="n">
        <v>46322</v>
      </c>
      <c r="F393" t="inlineStr">
        <is>
          <t>JÖNKÖPINGS LÄN</t>
        </is>
      </c>
      <c r="G393" t="inlineStr">
        <is>
          <t>NÄSSJÖ</t>
        </is>
      </c>
      <c r="I393" t="n">
        <v>0.6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s="2" t="inlineStr"/>
    </row>
    <row r="394" ht="15" customHeight="1">
      <c r="A394" t="inlineStr">
        <is>
          <t>A 18843-2026</t>
        </is>
      </c>
      <c r="B394" t="inlineStr">
        <is>
          <t>avverkningsanmälan</t>
        </is>
      </c>
      <c r="C394" t="inlineStr">
        <is>
          <t>Föryngringsavverkning</t>
        </is>
      </c>
      <c r="D394" s="1" t="n">
        <v>46129</v>
      </c>
      <c r="E394" s="1" t="n">
        <v>46322</v>
      </c>
      <c r="F394" t="inlineStr">
        <is>
          <t>JÖNKÖPINGS LÄN</t>
        </is>
      </c>
      <c r="G394" t="inlineStr">
        <is>
          <t>NÄSSJÖ</t>
        </is>
      </c>
      <c r="I394" t="n">
        <v>2.2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s="2" t="inlineStr"/>
    </row>
    <row r="395" ht="15" customHeight="1">
      <c r="A395" t="inlineStr">
        <is>
          <t>A 23570-2024</t>
        </is>
      </c>
      <c r="B395" t="inlineStr">
        <is>
          <t>avverkningsanmälan</t>
        </is>
      </c>
      <c r="C395" t="inlineStr">
        <is>
          <t>Föryngringsavverkning</t>
        </is>
      </c>
      <c r="D395" s="1" t="n">
        <v>45454</v>
      </c>
      <c r="E395" s="1" t="n">
        <v>46322</v>
      </c>
      <c r="F395" t="inlineStr">
        <is>
          <t>JÖNKÖPINGS LÄN</t>
        </is>
      </c>
      <c r="G395" t="inlineStr">
        <is>
          <t>NÄSSJÖ</t>
        </is>
      </c>
      <c r="I395" t="n">
        <v>0.4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s="2" t="inlineStr"/>
    </row>
    <row r="396" ht="15" customHeight="1">
      <c r="A396" t="inlineStr">
        <is>
          <t>A 30659-2023</t>
        </is>
      </c>
      <c r="B396" t="inlineStr">
        <is>
          <t>avverkningsanmälan</t>
        </is>
      </c>
      <c r="C396" t="inlineStr">
        <is>
          <t>Föryngringsavverkning</t>
        </is>
      </c>
      <c r="D396" s="1" t="n">
        <v>45112</v>
      </c>
      <c r="E396" s="1" t="n">
        <v>46322</v>
      </c>
      <c r="F396" t="inlineStr">
        <is>
          <t>JÖNKÖPINGS LÄN</t>
        </is>
      </c>
      <c r="G396" t="inlineStr">
        <is>
          <t>NÄSSJÖ</t>
        </is>
      </c>
      <c r="I396" t="n">
        <v>1.1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s="2" t="inlineStr"/>
    </row>
    <row r="397" ht="15" customHeight="1">
      <c r="A397" t="inlineStr">
        <is>
          <t>A 43695-2023</t>
        </is>
      </c>
      <c r="B397" t="inlineStr">
        <is>
          <t>avverkningsanmälan</t>
        </is>
      </c>
      <c r="C397" t="inlineStr">
        <is>
          <t>Föryngringsavverkning</t>
        </is>
      </c>
      <c r="D397" s="1" t="n">
        <v>45187</v>
      </c>
      <c r="E397" s="1" t="n">
        <v>46322</v>
      </c>
      <c r="F397" t="inlineStr">
        <is>
          <t>JÖNKÖPINGS LÄN</t>
        </is>
      </c>
      <c r="G397" t="inlineStr">
        <is>
          <t>NÄSSJÖ</t>
        </is>
      </c>
      <c r="I397" t="n">
        <v>0.8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s="2" t="inlineStr"/>
    </row>
    <row r="398" ht="15" customHeight="1">
      <c r="A398" t="inlineStr">
        <is>
          <t>A 4550-2023</t>
        </is>
      </c>
      <c r="B398" t="inlineStr">
        <is>
          <t>avverkningsanmälan</t>
        </is>
      </c>
      <c r="C398" t="inlineStr">
        <is>
          <t>Föryngringsavverkning</t>
        </is>
      </c>
      <c r="D398" s="1" t="n">
        <v>44956</v>
      </c>
      <c r="E398" s="1" t="n">
        <v>46322</v>
      </c>
      <c r="F398" t="inlineStr">
        <is>
          <t>JÖNKÖPINGS LÄN</t>
        </is>
      </c>
      <c r="G398" t="inlineStr">
        <is>
          <t>NÄSSJÖ</t>
        </is>
      </c>
      <c r="I398" t="n">
        <v>0.7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s="2" t="inlineStr"/>
    </row>
    <row r="399" ht="15" customHeight="1">
      <c r="A399" t="inlineStr">
        <is>
          <t>A 49339-2022</t>
        </is>
      </c>
      <c r="B399" t="inlineStr">
        <is>
          <t>avverkningsanmälan</t>
        </is>
      </c>
      <c r="C399" t="inlineStr">
        <is>
          <t>Föryngringsavverkning</t>
        </is>
      </c>
      <c r="D399" s="1" t="n">
        <v>44858</v>
      </c>
      <c r="E399" s="1" t="n">
        <v>46322</v>
      </c>
      <c r="F399" t="inlineStr">
        <is>
          <t>JÖNKÖPINGS LÄN</t>
        </is>
      </c>
      <c r="G399" t="inlineStr">
        <is>
          <t>NÄSSJÖ</t>
        </is>
      </c>
      <c r="I399" t="n">
        <v>7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s="2" t="inlineStr"/>
    </row>
    <row r="400" ht="15" customHeight="1">
      <c r="A400" t="inlineStr">
        <is>
          <t>A 24502-2024</t>
        </is>
      </c>
      <c r="B400" t="inlineStr">
        <is>
          <t>avverkningsanmälan</t>
        </is>
      </c>
      <c r="C400" t="inlineStr">
        <is>
          <t>Föryngringsavverkning</t>
        </is>
      </c>
      <c r="D400" s="1" t="n">
        <v>45460</v>
      </c>
      <c r="E400" s="1" t="n">
        <v>46322</v>
      </c>
      <c r="F400" t="inlineStr">
        <is>
          <t>JÖNKÖPINGS LÄN</t>
        </is>
      </c>
      <c r="G400" t="inlineStr">
        <is>
          <t>NÄSSJÖ</t>
        </is>
      </c>
      <c r="I400" t="n">
        <v>1.3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s="2" t="inlineStr"/>
    </row>
    <row r="401" ht="15" customHeight="1">
      <c r="A401" t="inlineStr">
        <is>
          <t>A 20048-2026</t>
        </is>
      </c>
      <c r="B401" t="inlineStr">
        <is>
          <t>avverkningsanmälan</t>
        </is>
      </c>
      <c r="C401" t="inlineStr">
        <is>
          <t>Föryngringsavverkning</t>
        </is>
      </c>
      <c r="D401" s="1" t="n">
        <v>46135</v>
      </c>
      <c r="E401" s="1" t="n">
        <v>46322</v>
      </c>
      <c r="F401" t="inlineStr">
        <is>
          <t>JÖNKÖPINGS LÄN</t>
        </is>
      </c>
      <c r="G401" t="inlineStr">
        <is>
          <t>NÄSSJÖ</t>
        </is>
      </c>
      <c r="I401" t="n">
        <v>2.7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s="2" t="inlineStr"/>
    </row>
    <row r="402" ht="15" customHeight="1">
      <c r="A402" t="inlineStr">
        <is>
          <t>A 20059-2026</t>
        </is>
      </c>
      <c r="B402" t="inlineStr">
        <is>
          <t>avverkningsanmälan</t>
        </is>
      </c>
      <c r="C402" t="inlineStr">
        <is>
          <t>Föryngringsavverkning</t>
        </is>
      </c>
      <c r="D402" s="1" t="n">
        <v>46135</v>
      </c>
      <c r="E402" s="1" t="n">
        <v>46322</v>
      </c>
      <c r="F402" t="inlineStr">
        <is>
          <t>JÖNKÖPINGS LÄN</t>
        </is>
      </c>
      <c r="G402" t="inlineStr">
        <is>
          <t>NÄSSJÖ</t>
        </is>
      </c>
      <c r="I402" t="n">
        <v>3.5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s="2" t="inlineStr"/>
    </row>
    <row r="403" ht="15" customHeight="1">
      <c r="A403" t="inlineStr">
        <is>
          <t>A 12031-2025</t>
        </is>
      </c>
      <c r="B403" t="inlineStr">
        <is>
          <t>avverkningsanmälan</t>
        </is>
      </c>
      <c r="C403" t="inlineStr">
        <is>
          <t>Föryngringsavverkning</t>
        </is>
      </c>
      <c r="D403" s="1" t="n">
        <v>45728</v>
      </c>
      <c r="E403" s="1" t="n">
        <v>46322</v>
      </c>
      <c r="F403" t="inlineStr">
        <is>
          <t>JÖNKÖPINGS LÄN</t>
        </is>
      </c>
      <c r="G403" t="inlineStr">
        <is>
          <t>NÄSSJÖ</t>
        </is>
      </c>
      <c r="I403" t="n">
        <v>6.6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s="2" t="inlineStr"/>
    </row>
    <row r="404" ht="15" customHeight="1">
      <c r="A404" t="inlineStr">
        <is>
          <t>A 38541-2026</t>
        </is>
      </c>
      <c r="B404" t="inlineStr">
        <is>
          <t>avverkningsanmälan</t>
        </is>
      </c>
      <c r="C404" t="inlineStr">
        <is>
          <t>Föryngringsavverkning</t>
        </is>
      </c>
      <c r="D404" s="1" t="n">
        <v>46283</v>
      </c>
      <c r="E404" s="1" t="n">
        <v>46322</v>
      </c>
      <c r="F404" t="inlineStr">
        <is>
          <t>JÖNKÖPINGS LÄN</t>
        </is>
      </c>
      <c r="G404" t="inlineStr">
        <is>
          <t>NÄSSJÖ</t>
        </is>
      </c>
      <c r="I404" t="n">
        <v>1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s="2" t="inlineStr"/>
    </row>
    <row r="405" ht="15" customHeight="1">
      <c r="A405" t="inlineStr">
        <is>
          <t>A 19768-2026</t>
        </is>
      </c>
      <c r="B405" t="inlineStr">
        <is>
          <t>avverkningsanmälan</t>
        </is>
      </c>
      <c r="C405" t="inlineStr">
        <is>
          <t>Föryngringsavverkning</t>
        </is>
      </c>
      <c r="D405" s="1" t="n">
        <v>46135</v>
      </c>
      <c r="E405" s="1" t="n">
        <v>46322</v>
      </c>
      <c r="F405" t="inlineStr">
        <is>
          <t>JÖNKÖPINGS LÄN</t>
        </is>
      </c>
      <c r="G405" t="inlineStr">
        <is>
          <t>NÄSSJÖ</t>
        </is>
      </c>
      <c r="I405" t="n">
        <v>1.1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s="2" t="inlineStr"/>
    </row>
    <row r="406" ht="15" customHeight="1">
      <c r="A406" t="inlineStr">
        <is>
          <t>A 60429-2023</t>
        </is>
      </c>
      <c r="B406" t="inlineStr">
        <is>
          <t>avverkningsanmälan</t>
        </is>
      </c>
      <c r="C406" t="inlineStr">
        <is>
          <t>Föryngringsavverkning</t>
        </is>
      </c>
      <c r="D406" s="1" t="n">
        <v>45259</v>
      </c>
      <c r="E406" s="1" t="n">
        <v>46322</v>
      </c>
      <c r="F406" t="inlineStr">
        <is>
          <t>JÖNKÖPINGS LÄN</t>
        </is>
      </c>
      <c r="G406" t="inlineStr">
        <is>
          <t>NÄSSJÖ</t>
        </is>
      </c>
      <c r="I406" t="n">
        <v>1.9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s="2" t="inlineStr"/>
    </row>
    <row r="407" ht="15" customHeight="1">
      <c r="A407" t="inlineStr">
        <is>
          <t>A 19776-2026</t>
        </is>
      </c>
      <c r="B407" t="inlineStr">
        <is>
          <t>avverkningsanmälan</t>
        </is>
      </c>
      <c r="C407" t="inlineStr">
        <is>
          <t>Föryngringsavverkning</t>
        </is>
      </c>
      <c r="D407" s="1" t="n">
        <v>46135</v>
      </c>
      <c r="E407" s="1" t="n">
        <v>46322</v>
      </c>
      <c r="F407" t="inlineStr">
        <is>
          <t>JÖNKÖPINGS LÄN</t>
        </is>
      </c>
      <c r="G407" t="inlineStr">
        <is>
          <t>NÄSSJÖ</t>
        </is>
      </c>
      <c r="I407" t="n">
        <v>2.2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s="2" t="inlineStr"/>
    </row>
    <row r="408" ht="15" customHeight="1">
      <c r="A408" t="inlineStr">
        <is>
          <t>A 48890-2023</t>
        </is>
      </c>
      <c r="B408" t="inlineStr">
        <is>
          <t>avverkningsanmälan</t>
        </is>
      </c>
      <c r="C408" t="inlineStr">
        <is>
          <t>Föryngringsavverkning</t>
        </is>
      </c>
      <c r="D408" s="1" t="n">
        <v>45209</v>
      </c>
      <c r="E408" s="1" t="n">
        <v>46322</v>
      </c>
      <c r="F408" t="inlineStr">
        <is>
          <t>JÖNKÖPINGS LÄN</t>
        </is>
      </c>
      <c r="G408" t="inlineStr">
        <is>
          <t>NÄSSJÖ</t>
        </is>
      </c>
      <c r="I408" t="n">
        <v>0.7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s="2" t="inlineStr"/>
    </row>
    <row r="409" ht="15" customHeight="1">
      <c r="A409" t="inlineStr">
        <is>
          <t>A 63896-2025</t>
        </is>
      </c>
      <c r="B409" t="inlineStr">
        <is>
          <t>avverkningsanmälan</t>
        </is>
      </c>
      <c r="C409" t="inlineStr">
        <is>
          <t>Föryngringsavverkning</t>
        </is>
      </c>
      <c r="D409" s="1" t="n">
        <v>46020</v>
      </c>
      <c r="E409" s="1" t="n">
        <v>46322</v>
      </c>
      <c r="F409" t="inlineStr">
        <is>
          <t>JÖNKÖPINGS LÄN</t>
        </is>
      </c>
      <c r="G409" t="inlineStr">
        <is>
          <t>NÄSSJÖ</t>
        </is>
      </c>
      <c r="I409" t="n">
        <v>1.4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s="2" t="inlineStr"/>
    </row>
    <row r="410" ht="15" customHeight="1">
      <c r="A410" t="inlineStr">
        <is>
          <t>A 3589-2024</t>
        </is>
      </c>
      <c r="B410" t="inlineStr">
        <is>
          <t>avverkningsanmälan</t>
        </is>
      </c>
      <c r="C410" t="inlineStr">
        <is>
          <t>Föryngringsavverkning</t>
        </is>
      </c>
      <c r="D410" s="1" t="n">
        <v>45320</v>
      </c>
      <c r="E410" s="1" t="n">
        <v>46322</v>
      </c>
      <c r="F410" t="inlineStr">
        <is>
          <t>JÖNKÖPINGS LÄN</t>
        </is>
      </c>
      <c r="G410" t="inlineStr">
        <is>
          <t>NÄSSJÖ</t>
        </is>
      </c>
      <c r="I410" t="n">
        <v>0.6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s="2" t="inlineStr"/>
    </row>
    <row r="411" ht="15" customHeight="1">
      <c r="A411" t="inlineStr">
        <is>
          <t>A 11480-2024</t>
        </is>
      </c>
      <c r="B411" t="inlineStr">
        <is>
          <t>avverkningsanmälan</t>
        </is>
      </c>
      <c r="C411" t="inlineStr">
        <is>
          <t>Föryngringsavverkning</t>
        </is>
      </c>
      <c r="D411" s="1" t="n">
        <v>45372</v>
      </c>
      <c r="E411" s="1" t="n">
        <v>46322</v>
      </c>
      <c r="F411" t="inlineStr">
        <is>
          <t>JÖNKÖPINGS LÄN</t>
        </is>
      </c>
      <c r="G411" t="inlineStr">
        <is>
          <t>NÄSSJÖ</t>
        </is>
      </c>
      <c r="I411" t="n">
        <v>1.9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s="2" t="inlineStr"/>
    </row>
    <row r="412" ht="15" customHeight="1">
      <c r="A412" t="inlineStr">
        <is>
          <t>A 11489-2024</t>
        </is>
      </c>
      <c r="B412" t="inlineStr">
        <is>
          <t>avverkningsanmälan</t>
        </is>
      </c>
      <c r="C412" t="inlineStr">
        <is>
          <t>Föryngringsavverkning</t>
        </is>
      </c>
      <c r="D412" s="1" t="n">
        <v>45372</v>
      </c>
      <c r="E412" s="1" t="n">
        <v>46322</v>
      </c>
      <c r="F412" t="inlineStr">
        <is>
          <t>JÖNKÖPINGS LÄN</t>
        </is>
      </c>
      <c r="G412" t="inlineStr">
        <is>
          <t>NÄSSJÖ</t>
        </is>
      </c>
      <c r="I412" t="n">
        <v>2.1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s="2" t="inlineStr"/>
    </row>
    <row r="413" ht="15" customHeight="1">
      <c r="A413" t="inlineStr">
        <is>
          <t>A 43156-2024</t>
        </is>
      </c>
      <c r="B413" t="inlineStr">
        <is>
          <t>avverkningsanmälan</t>
        </is>
      </c>
      <c r="C413" t="inlineStr">
        <is>
          <t>Föryngringsavverkning</t>
        </is>
      </c>
      <c r="D413" s="1" t="n">
        <v>45567</v>
      </c>
      <c r="E413" s="1" t="n">
        <v>46322</v>
      </c>
      <c r="F413" t="inlineStr">
        <is>
          <t>JÖNKÖPINGS LÄN</t>
        </is>
      </c>
      <c r="G413" t="inlineStr">
        <is>
          <t>NÄSSJÖ</t>
        </is>
      </c>
      <c r="I413" t="n">
        <v>1.3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s="2" t="inlineStr"/>
    </row>
    <row r="414" ht="15" customHeight="1">
      <c r="A414" t="inlineStr">
        <is>
          <t>A 39215-2026</t>
        </is>
      </c>
      <c r="B414" t="inlineStr">
        <is>
          <t>avverkningsanmälan</t>
        </is>
      </c>
      <c r="C414" t="inlineStr">
        <is>
          <t>Föryngringsavverkning</t>
        </is>
      </c>
      <c r="D414" s="1" t="n">
        <v>46287</v>
      </c>
      <c r="E414" s="1" t="n">
        <v>46322</v>
      </c>
      <c r="F414" t="inlineStr">
        <is>
          <t>JÖNKÖPINGS LÄN</t>
        </is>
      </c>
      <c r="G414" t="inlineStr">
        <is>
          <t>NÄSSJÖ</t>
        </is>
      </c>
      <c r="I414" t="n">
        <v>2.2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s="2" t="inlineStr"/>
    </row>
    <row r="415" ht="15" customHeight="1">
      <c r="A415" t="inlineStr">
        <is>
          <t>A 5290-2025</t>
        </is>
      </c>
      <c r="B415" t="inlineStr">
        <is>
          <t>avverkningsanmälan</t>
        </is>
      </c>
      <c r="C415" t="inlineStr">
        <is>
          <t>Föryngringsavverkning</t>
        </is>
      </c>
      <c r="D415" s="1" t="n">
        <v>45692</v>
      </c>
      <c r="E415" s="1" t="n">
        <v>46322</v>
      </c>
      <c r="F415" t="inlineStr">
        <is>
          <t>JÖNKÖPINGS LÄN</t>
        </is>
      </c>
      <c r="G415" t="inlineStr">
        <is>
          <t>NÄSSJÖ</t>
        </is>
      </c>
      <c r="I415" t="n">
        <v>7.4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s="2" t="inlineStr"/>
    </row>
    <row r="416" ht="15" customHeight="1">
      <c r="A416" t="inlineStr">
        <is>
          <t>A 7087-2024</t>
        </is>
      </c>
      <c r="B416" t="inlineStr">
        <is>
          <t>avverkningsanmälan</t>
        </is>
      </c>
      <c r="C416" t="inlineStr">
        <is>
          <t>Föryngringsavverkning</t>
        </is>
      </c>
      <c r="D416" s="1" t="n">
        <v>45343</v>
      </c>
      <c r="E416" s="1" t="n">
        <v>46322</v>
      </c>
      <c r="F416" t="inlineStr">
        <is>
          <t>JÖNKÖPINGS LÄN</t>
        </is>
      </c>
      <c r="G416" t="inlineStr">
        <is>
          <t>NÄSSJÖ</t>
        </is>
      </c>
      <c r="I416" t="n">
        <v>0.5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s="2" t="inlineStr"/>
    </row>
    <row r="417" ht="15" customHeight="1">
      <c r="A417" t="inlineStr">
        <is>
          <t>A 40927-2023</t>
        </is>
      </c>
      <c r="B417" t="inlineStr">
        <is>
          <t>avverkningsanmälan</t>
        </is>
      </c>
      <c r="C417" t="inlineStr">
        <is>
          <t>Föryngringsavverkning</t>
        </is>
      </c>
      <c r="D417" s="1" t="n">
        <v>45169</v>
      </c>
      <c r="E417" s="1" t="n">
        <v>46322</v>
      </c>
      <c r="F417" t="inlineStr">
        <is>
          <t>JÖNKÖPINGS LÄN</t>
        </is>
      </c>
      <c r="G417" t="inlineStr">
        <is>
          <t>NÄSSJÖ</t>
        </is>
      </c>
      <c r="I417" t="n">
        <v>0.5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s="2" t="inlineStr"/>
    </row>
    <row r="418" ht="15" customHeight="1">
      <c r="A418" t="inlineStr">
        <is>
          <t>A 42685-2024</t>
        </is>
      </c>
      <c r="B418" t="inlineStr">
        <is>
          <t>avverkningsanmälan</t>
        </is>
      </c>
      <c r="C418" t="inlineStr">
        <is>
          <t>Föryngringsavverkning</t>
        </is>
      </c>
      <c r="D418" s="1" t="n">
        <v>45566</v>
      </c>
      <c r="E418" s="1" t="n">
        <v>46322</v>
      </c>
      <c r="F418" t="inlineStr">
        <is>
          <t>JÖNKÖPINGS LÄN</t>
        </is>
      </c>
      <c r="G418" t="inlineStr">
        <is>
          <t>NÄSSJÖ</t>
        </is>
      </c>
      <c r="I418" t="n">
        <v>2.1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s="2" t="inlineStr"/>
    </row>
    <row r="419" ht="15" customHeight="1">
      <c r="A419" t="inlineStr">
        <is>
          <t>A 32826-2026</t>
        </is>
      </c>
      <c r="B419" t="inlineStr">
        <is>
          <t>avverkningsanmälan</t>
        </is>
      </c>
      <c r="C419" t="inlineStr">
        <is>
          <t>Föryngringsavverkning</t>
        </is>
      </c>
      <c r="D419" s="1" t="n">
        <v>46243</v>
      </c>
      <c r="E419" s="1" t="n">
        <v>46322</v>
      </c>
      <c r="F419" t="inlineStr">
        <is>
          <t>JÖNKÖPINGS LÄN</t>
        </is>
      </c>
      <c r="G419" t="inlineStr">
        <is>
          <t>NÄSSJÖ</t>
        </is>
      </c>
      <c r="I419" t="n">
        <v>0.6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s="2" t="inlineStr"/>
    </row>
    <row r="420" ht="15" customHeight="1">
      <c r="A420" t="inlineStr">
        <is>
          <t>A 43625-2023</t>
        </is>
      </c>
      <c r="B420" t="inlineStr">
        <is>
          <t>avverkningsanmälan</t>
        </is>
      </c>
      <c r="C420" t="inlineStr">
        <is>
          <t>Föryngringsavverkning</t>
        </is>
      </c>
      <c r="D420" s="1" t="n">
        <v>45184</v>
      </c>
      <c r="E420" s="1" t="n">
        <v>46322</v>
      </c>
      <c r="F420" t="inlineStr">
        <is>
          <t>JÖNKÖPINGS LÄN</t>
        </is>
      </c>
      <c r="G420" t="inlineStr">
        <is>
          <t>NÄSSJÖ</t>
        </is>
      </c>
      <c r="I420" t="n">
        <v>1.4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s="2" t="inlineStr"/>
    </row>
    <row r="421" ht="15" customHeight="1">
      <c r="A421" t="inlineStr">
        <is>
          <t>A 57357-2025</t>
        </is>
      </c>
      <c r="B421" t="inlineStr">
        <is>
          <t>avverkningsanmälan</t>
        </is>
      </c>
      <c r="C421" t="inlineStr">
        <is>
          <t>Föryngringsavverkning</t>
        </is>
      </c>
      <c r="D421" s="1" t="n">
        <v>45980</v>
      </c>
      <c r="E421" s="1" t="n">
        <v>46322</v>
      </c>
      <c r="F421" t="inlineStr">
        <is>
          <t>JÖNKÖPINGS LÄN</t>
        </is>
      </c>
      <c r="G421" t="inlineStr">
        <is>
          <t>NÄSSJÖ</t>
        </is>
      </c>
      <c r="I421" t="n">
        <v>1.1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s="2" t="inlineStr"/>
    </row>
    <row r="422" ht="15" customHeight="1">
      <c r="A422" t="inlineStr">
        <is>
          <t>A 36945-2023</t>
        </is>
      </c>
      <c r="B422" t="inlineStr">
        <is>
          <t>avverkningsanmälan</t>
        </is>
      </c>
      <c r="C422" t="inlineStr">
        <is>
          <t>Föryngringsavverkning</t>
        </is>
      </c>
      <c r="D422" s="1" t="n">
        <v>45154</v>
      </c>
      <c r="E422" s="1" t="n">
        <v>46322</v>
      </c>
      <c r="F422" t="inlineStr">
        <is>
          <t>JÖNKÖPINGS LÄN</t>
        </is>
      </c>
      <c r="G422" t="inlineStr">
        <is>
          <t>NÄSSJÖ</t>
        </is>
      </c>
      <c r="I422" t="n">
        <v>0.8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s="2" t="inlineStr"/>
    </row>
    <row r="423" ht="15" customHeight="1">
      <c r="A423" t="inlineStr">
        <is>
          <t>A 36950-2023</t>
        </is>
      </c>
      <c r="B423" t="inlineStr">
        <is>
          <t>avverkningsanmälan</t>
        </is>
      </c>
      <c r="C423" t="inlineStr">
        <is>
          <t>Föryngringsavverkning</t>
        </is>
      </c>
      <c r="D423" s="1" t="n">
        <v>45154</v>
      </c>
      <c r="E423" s="1" t="n">
        <v>46322</v>
      </c>
      <c r="F423" t="inlineStr">
        <is>
          <t>JÖNKÖPINGS LÄN</t>
        </is>
      </c>
      <c r="G423" t="inlineStr">
        <is>
          <t>NÄSSJÖ</t>
        </is>
      </c>
      <c r="I423" t="n">
        <v>1.4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s="2" t="inlineStr"/>
    </row>
    <row r="424" ht="15" customHeight="1">
      <c r="A424" t="inlineStr">
        <is>
          <t>A 38538-2026</t>
        </is>
      </c>
      <c r="B424" t="inlineStr">
        <is>
          <t>avverkningsanmälan</t>
        </is>
      </c>
      <c r="C424" t="inlineStr">
        <is>
          <t>Föryngringsavverkning</t>
        </is>
      </c>
      <c r="D424" s="1" t="n">
        <v>46283</v>
      </c>
      <c r="E424" s="1" t="n">
        <v>46322</v>
      </c>
      <c r="F424" t="inlineStr">
        <is>
          <t>JÖNKÖPINGS LÄN</t>
        </is>
      </c>
      <c r="G424" t="inlineStr">
        <is>
          <t>NÄSSJÖ</t>
        </is>
      </c>
      <c r="I424" t="n">
        <v>5.3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s="2" t="inlineStr"/>
    </row>
    <row r="425" ht="15" customHeight="1">
      <c r="A425" t="inlineStr">
        <is>
          <t>A 38570-2026</t>
        </is>
      </c>
      <c r="B425" t="inlineStr">
        <is>
          <t>avverkningsanmälan</t>
        </is>
      </c>
      <c r="C425" t="inlineStr">
        <is>
          <t>Föryngringsavverkning</t>
        </is>
      </c>
      <c r="D425" s="1" t="n">
        <v>46283</v>
      </c>
      <c r="E425" s="1" t="n">
        <v>46322</v>
      </c>
      <c r="F425" t="inlineStr">
        <is>
          <t>JÖNKÖPINGS LÄN</t>
        </is>
      </c>
      <c r="G425" t="inlineStr">
        <is>
          <t>NÄSSJÖ</t>
        </is>
      </c>
      <c r="I425" t="n">
        <v>0.7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s="2" t="inlineStr"/>
    </row>
    <row r="426" ht="15" customHeight="1">
      <c r="A426" t="inlineStr">
        <is>
          <t>A 14117-2023</t>
        </is>
      </c>
      <c r="B426" t="inlineStr">
        <is>
          <t>avverkningsanmälan</t>
        </is>
      </c>
      <c r="C426" t="inlineStr">
        <is>
          <t>Föryngringsavverkning</t>
        </is>
      </c>
      <c r="D426" s="1" t="n">
        <v>45009</v>
      </c>
      <c r="E426" s="1" t="n">
        <v>46322</v>
      </c>
      <c r="F426" t="inlineStr">
        <is>
          <t>JÖNKÖPINGS LÄN</t>
        </is>
      </c>
      <c r="G426" t="inlineStr">
        <is>
          <t>NÄSSJÖ</t>
        </is>
      </c>
      <c r="I426" t="n">
        <v>3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s="2" t="inlineStr"/>
    </row>
    <row r="427" ht="15" customHeight="1">
      <c r="A427" t="inlineStr">
        <is>
          <t>A 39323-2025</t>
        </is>
      </c>
      <c r="B427" t="inlineStr">
        <is>
          <t>avverkningsanmälan</t>
        </is>
      </c>
      <c r="C427" t="inlineStr">
        <is>
          <t>Föryngringsavverkning</t>
        </is>
      </c>
      <c r="D427" s="1" t="n">
        <v>45889</v>
      </c>
      <c r="E427" s="1" t="n">
        <v>46322</v>
      </c>
      <c r="F427" t="inlineStr">
        <is>
          <t>JÖNKÖPINGS LÄN</t>
        </is>
      </c>
      <c r="G427" t="inlineStr">
        <is>
          <t>NÄSSJÖ</t>
        </is>
      </c>
      <c r="I427" t="n">
        <v>1.9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s="2" t="inlineStr"/>
    </row>
    <row r="428" ht="15" customHeight="1">
      <c r="A428" t="inlineStr">
        <is>
          <t>A 32824-2026</t>
        </is>
      </c>
      <c r="B428" t="inlineStr">
        <is>
          <t>avverkningsanmälan</t>
        </is>
      </c>
      <c r="C428" t="inlineStr">
        <is>
          <t>Föryngringsavverkning</t>
        </is>
      </c>
      <c r="D428" s="1" t="n">
        <v>46243</v>
      </c>
      <c r="E428" s="1" t="n">
        <v>46322</v>
      </c>
      <c r="F428" t="inlineStr">
        <is>
          <t>JÖNKÖPINGS LÄN</t>
        </is>
      </c>
      <c r="G428" t="inlineStr">
        <is>
          <t>NÄSSJÖ</t>
        </is>
      </c>
      <c r="I428" t="n">
        <v>0.8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s="2" t="inlineStr"/>
    </row>
    <row r="429" ht="15" customHeight="1">
      <c r="A429" t="inlineStr">
        <is>
          <t>A 32829-2026</t>
        </is>
      </c>
      <c r="B429" t="inlineStr">
        <is>
          <t>avverkningsanmälan</t>
        </is>
      </c>
      <c r="C429" t="inlineStr">
        <is>
          <t>Föryngringsavverkning</t>
        </is>
      </c>
      <c r="D429" s="1" t="n">
        <v>46243</v>
      </c>
      <c r="E429" s="1" t="n">
        <v>46322</v>
      </c>
      <c r="F429" t="inlineStr">
        <is>
          <t>JÖNKÖPINGS LÄN</t>
        </is>
      </c>
      <c r="G429" t="inlineStr">
        <is>
          <t>NÄSSJÖ</t>
        </is>
      </c>
      <c r="I429" t="n">
        <v>0.4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s="2" t="inlineStr"/>
    </row>
    <row r="430" ht="15" customHeight="1">
      <c r="A430" t="inlineStr">
        <is>
          <t>A 32825-2026</t>
        </is>
      </c>
      <c r="B430" t="inlineStr">
        <is>
          <t>avverkningsanmälan</t>
        </is>
      </c>
      <c r="C430" t="inlineStr">
        <is>
          <t>Föryngringsavverkning</t>
        </is>
      </c>
      <c r="D430" s="1" t="n">
        <v>46243</v>
      </c>
      <c r="E430" s="1" t="n">
        <v>46322</v>
      </c>
      <c r="F430" t="inlineStr">
        <is>
          <t>JÖNKÖPINGS LÄN</t>
        </is>
      </c>
      <c r="G430" t="inlineStr">
        <is>
          <t>NÄSSJÖ</t>
        </is>
      </c>
      <c r="I430" t="n">
        <v>0.5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s="2" t="inlineStr"/>
    </row>
    <row r="431" ht="15" customHeight="1">
      <c r="A431" t="inlineStr">
        <is>
          <t>A 32828-2026</t>
        </is>
      </c>
      <c r="B431" t="inlineStr">
        <is>
          <t>avverkningsanmälan</t>
        </is>
      </c>
      <c r="C431" t="inlineStr">
        <is>
          <t>Föryngringsavverkning</t>
        </is>
      </c>
      <c r="D431" s="1" t="n">
        <v>46243</v>
      </c>
      <c r="E431" s="1" t="n">
        <v>46322</v>
      </c>
      <c r="F431" t="inlineStr">
        <is>
          <t>JÖNKÖPINGS LÄN</t>
        </is>
      </c>
      <c r="G431" t="inlineStr">
        <is>
          <t>NÄSSJÖ</t>
        </is>
      </c>
      <c r="I431" t="n">
        <v>1.3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s="2" t="inlineStr"/>
    </row>
    <row r="432" ht="15" customHeight="1">
      <c r="A432" t="inlineStr">
        <is>
          <t>A 15862-2022</t>
        </is>
      </c>
      <c r="B432" t="inlineStr">
        <is>
          <t>avverkningsanmälan</t>
        </is>
      </c>
      <c r="C432" t="inlineStr">
        <is>
          <t>Avverkning för annat ändamål</t>
        </is>
      </c>
      <c r="D432" s="1" t="n">
        <v>44664</v>
      </c>
      <c r="E432" s="1" t="n">
        <v>46322</v>
      </c>
      <c r="F432" t="inlineStr">
        <is>
          <t>JÖNKÖPINGS LÄN</t>
        </is>
      </c>
      <c r="G432" t="inlineStr">
        <is>
          <t>NÄSSJÖ</t>
        </is>
      </c>
      <c r="I432" t="n">
        <v>1.1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s="2" t="inlineStr"/>
    </row>
    <row r="433" ht="15" customHeight="1">
      <c r="A433" t="inlineStr">
        <is>
          <t>A 38540-2026</t>
        </is>
      </c>
      <c r="B433" t="inlineStr">
        <is>
          <t>avverkningsanmälan</t>
        </is>
      </c>
      <c r="C433" t="inlineStr">
        <is>
          <t>Föryngringsavverkning</t>
        </is>
      </c>
      <c r="D433" s="1" t="n">
        <v>46283</v>
      </c>
      <c r="E433" s="1" t="n">
        <v>46322</v>
      </c>
      <c r="F433" t="inlineStr">
        <is>
          <t>JÖNKÖPINGS LÄN</t>
        </is>
      </c>
      <c r="G433" t="inlineStr">
        <is>
          <t>NÄSSJÖ</t>
        </is>
      </c>
      <c r="I433" t="n">
        <v>4.1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s="2" t="inlineStr"/>
    </row>
    <row r="434" ht="15" customHeight="1">
      <c r="A434" t="inlineStr">
        <is>
          <t>A 29002-2025</t>
        </is>
      </c>
      <c r="B434" t="inlineStr">
        <is>
          <t>avverkningsanmälan</t>
        </is>
      </c>
      <c r="C434" t="inlineStr">
        <is>
          <t>Föryngringsavverkning</t>
        </is>
      </c>
      <c r="D434" s="1" t="n">
        <v>45821</v>
      </c>
      <c r="E434" s="1" t="n">
        <v>46322</v>
      </c>
      <c r="F434" t="inlineStr">
        <is>
          <t>JÖNKÖPINGS LÄN</t>
        </is>
      </c>
      <c r="G434" t="inlineStr">
        <is>
          <t>NÄSSJÖ</t>
        </is>
      </c>
      <c r="I434" t="n">
        <v>2.1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s="2" t="inlineStr"/>
    </row>
    <row r="435" ht="15" customHeight="1">
      <c r="A435" t="inlineStr">
        <is>
          <t>A 57760-2024</t>
        </is>
      </c>
      <c r="B435" t="inlineStr">
        <is>
          <t>avverkningsanmälan</t>
        </is>
      </c>
      <c r="C435" t="inlineStr">
        <is>
          <t>Föryngringsavverkning</t>
        </is>
      </c>
      <c r="D435" s="1" t="n">
        <v>45630</v>
      </c>
      <c r="E435" s="1" t="n">
        <v>46322</v>
      </c>
      <c r="F435" t="inlineStr">
        <is>
          <t>JÖNKÖPINGS LÄN</t>
        </is>
      </c>
      <c r="G435" t="inlineStr">
        <is>
          <t>NÄSSJÖ</t>
        </is>
      </c>
      <c r="I435" t="n">
        <v>1.1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s="2" t="inlineStr"/>
    </row>
    <row r="436" ht="15" customHeight="1">
      <c r="A436" t="inlineStr">
        <is>
          <t>A 64665-2023</t>
        </is>
      </c>
      <c r="B436" t="inlineStr">
        <is>
          <t>avverkningsanmälan</t>
        </is>
      </c>
      <c r="C436" t="inlineStr">
        <is>
          <t>Föryngringsavverkning</t>
        </is>
      </c>
      <c r="D436" s="1" t="n">
        <v>45281</v>
      </c>
      <c r="E436" s="1" t="n">
        <v>46322</v>
      </c>
      <c r="F436" t="inlineStr">
        <is>
          <t>JÖNKÖPINGS LÄN</t>
        </is>
      </c>
      <c r="G436" t="inlineStr">
        <is>
          <t>NÄSSJÖ</t>
        </is>
      </c>
      <c r="I436" t="n">
        <v>3.7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s="2" t="inlineStr"/>
    </row>
    <row r="437" ht="15" customHeight="1">
      <c r="A437" t="inlineStr">
        <is>
          <t>A 26337-2023</t>
        </is>
      </c>
      <c r="B437" t="inlineStr">
        <is>
          <t>avverkningsanmälan</t>
        </is>
      </c>
      <c r="C437" t="inlineStr">
        <is>
          <t>Föryngringsavverkning</t>
        </is>
      </c>
      <c r="D437" s="1" t="n">
        <v>45091</v>
      </c>
      <c r="E437" s="1" t="n">
        <v>46322</v>
      </c>
      <c r="F437" t="inlineStr">
        <is>
          <t>JÖNKÖPINGS LÄN</t>
        </is>
      </c>
      <c r="G437" t="inlineStr">
        <is>
          <t>NÄSSJÖ</t>
        </is>
      </c>
      <c r="I437" t="n">
        <v>0.5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s="2" t="inlineStr"/>
    </row>
    <row r="438" ht="15" customHeight="1">
      <c r="A438" t="inlineStr">
        <is>
          <t>A 38792-2025</t>
        </is>
      </c>
      <c r="B438" t="inlineStr">
        <is>
          <t>avverkningsanmälan</t>
        </is>
      </c>
      <c r="C438" t="inlineStr">
        <is>
          <t>Föryngringsavverkning</t>
        </is>
      </c>
      <c r="D438" s="1" t="n">
        <v>45887</v>
      </c>
      <c r="E438" s="1" t="n">
        <v>46322</v>
      </c>
      <c r="F438" t="inlineStr">
        <is>
          <t>JÖNKÖPINGS LÄN</t>
        </is>
      </c>
      <c r="G438" t="inlineStr">
        <is>
          <t>NÄSSJÖ</t>
        </is>
      </c>
      <c r="I438" t="n">
        <v>2.5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s="2" t="inlineStr"/>
    </row>
    <row r="439" ht="15" customHeight="1">
      <c r="A439" t="inlineStr">
        <is>
          <t>A 52718-2024</t>
        </is>
      </c>
      <c r="B439" t="inlineStr">
        <is>
          <t>avverkningsanmälan</t>
        </is>
      </c>
      <c r="C439" t="inlineStr">
        <is>
          <t>Föryngringsavverkning</t>
        </is>
      </c>
      <c r="D439" s="1" t="n">
        <v>45610</v>
      </c>
      <c r="E439" s="1" t="n">
        <v>46322</v>
      </c>
      <c r="F439" t="inlineStr">
        <is>
          <t>JÖNKÖPINGS LÄN</t>
        </is>
      </c>
      <c r="G439" t="inlineStr">
        <is>
          <t>NÄSSJÖ</t>
        </is>
      </c>
      <c r="I439" t="n">
        <v>0.9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s="2" t="inlineStr"/>
    </row>
    <row r="440" ht="15" customHeight="1">
      <c r="A440" t="inlineStr">
        <is>
          <t>A 5801-2025</t>
        </is>
      </c>
      <c r="B440" t="inlineStr">
        <is>
          <t>avverkningsanmälan</t>
        </is>
      </c>
      <c r="C440" t="inlineStr">
        <is>
          <t>Föryngringsavverkning</t>
        </is>
      </c>
      <c r="D440" s="1" t="n">
        <v>45694</v>
      </c>
      <c r="E440" s="1" t="n">
        <v>46322</v>
      </c>
      <c r="F440" t="inlineStr">
        <is>
          <t>JÖNKÖPINGS LÄN</t>
        </is>
      </c>
      <c r="G440" t="inlineStr">
        <is>
          <t>NÄSSJÖ</t>
        </is>
      </c>
      <c r="I440" t="n">
        <v>5.6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s="2" t="inlineStr"/>
    </row>
    <row r="441" ht="15" customHeight="1">
      <c r="A441" t="inlineStr">
        <is>
          <t>A 44436-2025</t>
        </is>
      </c>
      <c r="B441" t="inlineStr">
        <is>
          <t>avverkningsanmälan</t>
        </is>
      </c>
      <c r="C441" t="inlineStr">
        <is>
          <t>Föryngringsavverkning</t>
        </is>
      </c>
      <c r="D441" s="1" t="n">
        <v>45916</v>
      </c>
      <c r="E441" s="1" t="n">
        <v>46322</v>
      </c>
      <c r="F441" t="inlineStr">
        <is>
          <t>JÖNKÖPINGS LÄN</t>
        </is>
      </c>
      <c r="G441" t="inlineStr">
        <is>
          <t>NÄSSJÖ</t>
        </is>
      </c>
      <c r="I441" t="n">
        <v>1.6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s="2" t="inlineStr"/>
    </row>
    <row r="442" ht="15" customHeight="1">
      <c r="A442" t="inlineStr">
        <is>
          <t>A 1939-2025</t>
        </is>
      </c>
      <c r="B442" t="inlineStr">
        <is>
          <t>avverkningsanmälan</t>
        </is>
      </c>
      <c r="C442" t="inlineStr">
        <is>
          <t>Föryngringsavverkning</t>
        </is>
      </c>
      <c r="D442" s="1" t="n">
        <v>45671</v>
      </c>
      <c r="E442" s="1" t="n">
        <v>46322</v>
      </c>
      <c r="F442" t="inlineStr">
        <is>
          <t>JÖNKÖPINGS LÄN</t>
        </is>
      </c>
      <c r="G442" t="inlineStr">
        <is>
          <t>NÄSSJÖ</t>
        </is>
      </c>
      <c r="I442" t="n">
        <v>2.1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s="2" t="inlineStr"/>
    </row>
    <row r="443" ht="15" customHeight="1">
      <c r="A443" t="inlineStr">
        <is>
          <t>A 8986-2023</t>
        </is>
      </c>
      <c r="B443" t="inlineStr">
        <is>
          <t>avverkningsanmälan</t>
        </is>
      </c>
      <c r="C443" t="inlineStr">
        <is>
          <t>Föryngringsavverkning</t>
        </is>
      </c>
      <c r="D443" s="1" t="n">
        <v>44974</v>
      </c>
      <c r="E443" s="1" t="n">
        <v>46322</v>
      </c>
      <c r="F443" t="inlineStr">
        <is>
          <t>JÖNKÖPINGS LÄN</t>
        </is>
      </c>
      <c r="G443" t="inlineStr">
        <is>
          <t>NÄSSJÖ</t>
        </is>
      </c>
      <c r="I443" t="n">
        <v>1.9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s="2" t="inlineStr"/>
    </row>
    <row r="444" ht="15" customHeight="1">
      <c r="A444" t="inlineStr">
        <is>
          <t>A 33340-2026</t>
        </is>
      </c>
      <c r="B444" t="inlineStr">
        <is>
          <t>avverkningsanmälan</t>
        </is>
      </c>
      <c r="C444" t="inlineStr">
        <is>
          <t>Föryngringsavverkning</t>
        </is>
      </c>
      <c r="D444" s="1" t="n">
        <v>46246</v>
      </c>
      <c r="E444" s="1" t="n">
        <v>46322</v>
      </c>
      <c r="F444" t="inlineStr">
        <is>
          <t>JÖNKÖPINGS LÄN</t>
        </is>
      </c>
      <c r="G444" t="inlineStr">
        <is>
          <t>NÄSSJÖ</t>
        </is>
      </c>
      <c r="I444" t="n">
        <v>2.1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s="2" t="inlineStr"/>
    </row>
    <row r="445" ht="15" customHeight="1">
      <c r="A445" t="inlineStr">
        <is>
          <t>A 10332-2025</t>
        </is>
      </c>
      <c r="B445" t="inlineStr">
        <is>
          <t>avverkningsanmälan</t>
        </is>
      </c>
      <c r="C445" t="inlineStr">
        <is>
          <t>Föryngringsavverkning</t>
        </is>
      </c>
      <c r="D445" s="1" t="n">
        <v>45720</v>
      </c>
      <c r="E445" s="1" t="n">
        <v>46322</v>
      </c>
      <c r="F445" t="inlineStr">
        <is>
          <t>JÖNKÖPINGS LÄN</t>
        </is>
      </c>
      <c r="G445" t="inlineStr">
        <is>
          <t>NÄSSJÖ</t>
        </is>
      </c>
      <c r="I445" t="n">
        <v>3.9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s="2" t="inlineStr"/>
    </row>
    <row r="446" ht="15" customHeight="1">
      <c r="A446" t="inlineStr">
        <is>
          <t>A 61465-2025</t>
        </is>
      </c>
      <c r="B446" t="inlineStr">
        <is>
          <t>avverkningsanmälan</t>
        </is>
      </c>
      <c r="C446" t="inlineStr">
        <is>
          <t>Föryngringsavverkning</t>
        </is>
      </c>
      <c r="D446" s="1" t="n">
        <v>46001</v>
      </c>
      <c r="E446" s="1" t="n">
        <v>46322</v>
      </c>
      <c r="F446" t="inlineStr">
        <is>
          <t>JÖNKÖPINGS LÄN</t>
        </is>
      </c>
      <c r="G446" t="inlineStr">
        <is>
          <t>NÄSSJÖ</t>
        </is>
      </c>
      <c r="I446" t="n">
        <v>1.6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s="2" t="inlineStr"/>
    </row>
    <row r="447" ht="15" customHeight="1">
      <c r="A447" t="inlineStr">
        <is>
          <t>A 50562-2023</t>
        </is>
      </c>
      <c r="B447" t="inlineStr">
        <is>
          <t>avverkningsanmälan</t>
        </is>
      </c>
      <c r="C447" t="inlineStr">
        <is>
          <t>Föryngringsavverkning</t>
        </is>
      </c>
      <c r="D447" s="1" t="n">
        <v>45210</v>
      </c>
      <c r="E447" s="1" t="n">
        <v>46322</v>
      </c>
      <c r="F447" t="inlineStr">
        <is>
          <t>JÖNKÖPINGS LÄN</t>
        </is>
      </c>
      <c r="G447" t="inlineStr">
        <is>
          <t>NÄSSJÖ</t>
        </is>
      </c>
      <c r="I447" t="n">
        <v>1.3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s="2" t="inlineStr"/>
    </row>
    <row r="448" ht="15" customHeight="1">
      <c r="A448" t="inlineStr">
        <is>
          <t>A 48479-2022</t>
        </is>
      </c>
      <c r="B448" t="inlineStr">
        <is>
          <t>avverkningsanmälan</t>
        </is>
      </c>
      <c r="C448" t="inlineStr">
        <is>
          <t>Föryngringsavverkning</t>
        </is>
      </c>
      <c r="D448" s="1" t="n">
        <v>44858</v>
      </c>
      <c r="E448" s="1" t="n">
        <v>46322</v>
      </c>
      <c r="F448" t="inlineStr">
        <is>
          <t>JÖNKÖPINGS LÄN</t>
        </is>
      </c>
      <c r="G448" t="inlineStr">
        <is>
          <t>NÄSSJÖ</t>
        </is>
      </c>
      <c r="H448" t="inlineStr">
        <is>
          <t>Kommuner</t>
        </is>
      </c>
      <c r="I448" t="n">
        <v>3.4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s="2" t="inlineStr"/>
    </row>
    <row r="449" ht="15" customHeight="1">
      <c r="A449" t="inlineStr">
        <is>
          <t>A 62583-2023</t>
        </is>
      </c>
      <c r="B449" t="inlineStr">
        <is>
          <t>avverkningsanmälan</t>
        </is>
      </c>
      <c r="C449" t="inlineStr">
        <is>
          <t>Föryngringsavverkning</t>
        </is>
      </c>
      <c r="D449" s="1" t="n">
        <v>45270</v>
      </c>
      <c r="E449" s="1" t="n">
        <v>46322</v>
      </c>
      <c r="F449" t="inlineStr">
        <is>
          <t>JÖNKÖPINGS LÄN</t>
        </is>
      </c>
      <c r="G449" t="inlineStr">
        <is>
          <t>NÄSSJÖ</t>
        </is>
      </c>
      <c r="I449" t="n">
        <v>2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s="2" t="inlineStr"/>
    </row>
    <row r="450" ht="15" customHeight="1">
      <c r="A450" t="inlineStr">
        <is>
          <t>A 47709-2023</t>
        </is>
      </c>
      <c r="B450" t="inlineStr">
        <is>
          <t>avverkningsanmälan</t>
        </is>
      </c>
      <c r="C450" t="inlineStr">
        <is>
          <t>Föryngringsavverkning</t>
        </is>
      </c>
      <c r="D450" s="1" t="n">
        <v>45203</v>
      </c>
      <c r="E450" s="1" t="n">
        <v>46322</v>
      </c>
      <c r="F450" t="inlineStr">
        <is>
          <t>JÖNKÖPINGS LÄN</t>
        </is>
      </c>
      <c r="G450" t="inlineStr">
        <is>
          <t>NÄSSJÖ</t>
        </is>
      </c>
      <c r="I450" t="n">
        <v>3.3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s="2" t="inlineStr"/>
    </row>
    <row r="451" ht="15" customHeight="1">
      <c r="A451" t="inlineStr">
        <is>
          <t>A 12720-2025</t>
        </is>
      </c>
      <c r="B451" t="inlineStr">
        <is>
          <t>avverkningsanmälan</t>
        </is>
      </c>
      <c r="C451" t="inlineStr">
        <is>
          <t>Föryngringsavverkning</t>
        </is>
      </c>
      <c r="D451" s="1" t="n">
        <v>45733</v>
      </c>
      <c r="E451" s="1" t="n">
        <v>46322</v>
      </c>
      <c r="F451" t="inlineStr">
        <is>
          <t>JÖNKÖPINGS LÄN</t>
        </is>
      </c>
      <c r="G451" t="inlineStr">
        <is>
          <t>NÄSSJÖ</t>
        </is>
      </c>
      <c r="I451" t="n">
        <v>3.1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s="2" t="inlineStr"/>
    </row>
    <row r="452" ht="15" customHeight="1">
      <c r="A452" t="inlineStr">
        <is>
          <t>A 20606-2026</t>
        </is>
      </c>
      <c r="B452" t="inlineStr">
        <is>
          <t>avverkningsanmälan</t>
        </is>
      </c>
      <c r="C452" t="inlineStr">
        <is>
          <t>Avverkning för annat ändamål</t>
        </is>
      </c>
      <c r="D452" s="1" t="n">
        <v>46140</v>
      </c>
      <c r="E452" s="1" t="n">
        <v>46322</v>
      </c>
      <c r="F452" t="inlineStr">
        <is>
          <t>JÖNKÖPINGS LÄN</t>
        </is>
      </c>
      <c r="G452" t="inlineStr">
        <is>
          <t>NÄSSJÖ</t>
        </is>
      </c>
      <c r="I452" t="n">
        <v>0.5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s="2" t="inlineStr"/>
    </row>
    <row r="453" ht="15" customHeight="1">
      <c r="A453" t="inlineStr">
        <is>
          <t>A 3386-2025</t>
        </is>
      </c>
      <c r="B453" t="inlineStr">
        <is>
          <t>avverkningsanmälan</t>
        </is>
      </c>
      <c r="C453" t="inlineStr">
        <is>
          <t>Föryngringsavverkning</t>
        </is>
      </c>
      <c r="D453" s="1" t="n">
        <v>45680</v>
      </c>
      <c r="E453" s="1" t="n">
        <v>46322</v>
      </c>
      <c r="F453" t="inlineStr">
        <is>
          <t>JÖNKÖPINGS LÄN</t>
        </is>
      </c>
      <c r="G453" t="inlineStr">
        <is>
          <t>NÄSSJÖ</t>
        </is>
      </c>
      <c r="I453" t="n">
        <v>0.8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s="2" t="inlineStr"/>
    </row>
    <row r="454" ht="15" customHeight="1">
      <c r="A454" t="inlineStr">
        <is>
          <t>A 12595-2024</t>
        </is>
      </c>
      <c r="B454" t="inlineStr">
        <is>
          <t>avverkningsanmälan</t>
        </is>
      </c>
      <c r="C454" t="inlineStr">
        <is>
          <t>Föryngringsavverkning</t>
        </is>
      </c>
      <c r="D454" s="1" t="n">
        <v>45380</v>
      </c>
      <c r="E454" s="1" t="n">
        <v>46322</v>
      </c>
      <c r="F454" t="inlineStr">
        <is>
          <t>JÖNKÖPINGS LÄN</t>
        </is>
      </c>
      <c r="G454" t="inlineStr">
        <is>
          <t>NÄSSJÖ</t>
        </is>
      </c>
      <c r="I454" t="n">
        <v>0.6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s="2" t="inlineStr"/>
    </row>
    <row r="455" ht="15" customHeight="1">
      <c r="A455" t="inlineStr">
        <is>
          <t>A 5818-2025</t>
        </is>
      </c>
      <c r="B455" t="inlineStr">
        <is>
          <t>avverkningsanmälan</t>
        </is>
      </c>
      <c r="C455" t="inlineStr">
        <is>
          <t>Föryngringsavverkning</t>
        </is>
      </c>
      <c r="D455" s="1" t="n">
        <v>45694</v>
      </c>
      <c r="E455" s="1" t="n">
        <v>46322</v>
      </c>
      <c r="F455" t="inlineStr">
        <is>
          <t>JÖNKÖPINGS LÄN</t>
        </is>
      </c>
      <c r="G455" t="inlineStr">
        <is>
          <t>NÄSSJÖ</t>
        </is>
      </c>
      <c r="I455" t="n">
        <v>3.1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s="2" t="inlineStr"/>
    </row>
    <row r="456" ht="15" customHeight="1">
      <c r="A456" t="inlineStr">
        <is>
          <t>A 28457-2023</t>
        </is>
      </c>
      <c r="B456" t="inlineStr">
        <is>
          <t>avverkningsanmälan</t>
        </is>
      </c>
      <c r="C456" t="inlineStr">
        <is>
          <t>Föryngringsavverkning</t>
        </is>
      </c>
      <c r="D456" s="1" t="n">
        <v>45103</v>
      </c>
      <c r="E456" s="1" t="n">
        <v>46322</v>
      </c>
      <c r="F456" t="inlineStr">
        <is>
          <t>JÖNKÖPINGS LÄN</t>
        </is>
      </c>
      <c r="G456" t="inlineStr">
        <is>
          <t>NÄSSJÖ</t>
        </is>
      </c>
      <c r="I456" t="n">
        <v>0.6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s="2" t="inlineStr"/>
    </row>
    <row r="457" ht="15" customHeight="1">
      <c r="A457" t="inlineStr">
        <is>
          <t>A 51374-2024</t>
        </is>
      </c>
      <c r="B457" t="inlineStr">
        <is>
          <t>avverkningsanmälan</t>
        </is>
      </c>
      <c r="C457" t="inlineStr">
        <is>
          <t>Föryngringsavverkning</t>
        </is>
      </c>
      <c r="D457" s="1" t="n">
        <v>45604</v>
      </c>
      <c r="E457" s="1" t="n">
        <v>46322</v>
      </c>
      <c r="F457" t="inlineStr">
        <is>
          <t>JÖNKÖPINGS LÄN</t>
        </is>
      </c>
      <c r="G457" t="inlineStr">
        <is>
          <t>NÄSSJÖ</t>
        </is>
      </c>
      <c r="I457" t="n">
        <v>0.5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s="2" t="inlineStr"/>
    </row>
    <row r="458" ht="15" customHeight="1">
      <c r="A458" t="inlineStr">
        <is>
          <t>A 59888-2023</t>
        </is>
      </c>
      <c r="B458" t="inlineStr">
        <is>
          <t>avverkningsanmälan</t>
        </is>
      </c>
      <c r="C458" t="inlineStr">
        <is>
          <t>Föryngringsavverkning</t>
        </is>
      </c>
      <c r="D458" s="1" t="n">
        <v>45257</v>
      </c>
      <c r="E458" s="1" t="n">
        <v>46322</v>
      </c>
      <c r="F458" t="inlineStr">
        <is>
          <t>JÖNKÖPINGS LÄN</t>
        </is>
      </c>
      <c r="G458" t="inlineStr">
        <is>
          <t>NÄSSJÖ</t>
        </is>
      </c>
      <c r="I458" t="n">
        <v>2.5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s="2" t="inlineStr"/>
    </row>
    <row r="459" ht="15" customHeight="1">
      <c r="A459" t="inlineStr">
        <is>
          <t>A 1228-2024</t>
        </is>
      </c>
      <c r="B459" t="inlineStr">
        <is>
          <t>avverkningsanmälan</t>
        </is>
      </c>
      <c r="C459" t="inlineStr">
        <is>
          <t>Föryngringsavverkning</t>
        </is>
      </c>
      <c r="D459" s="1" t="n">
        <v>45302</v>
      </c>
      <c r="E459" s="1" t="n">
        <v>46322</v>
      </c>
      <c r="F459" t="inlineStr">
        <is>
          <t>JÖNKÖPINGS LÄN</t>
        </is>
      </c>
      <c r="G459" t="inlineStr">
        <is>
          <t>NÄSSJÖ</t>
        </is>
      </c>
      <c r="I459" t="n">
        <v>0.9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s="2" t="inlineStr"/>
    </row>
    <row r="460" ht="15" customHeight="1">
      <c r="A460" t="inlineStr">
        <is>
          <t>A 61302-2025</t>
        </is>
      </c>
      <c r="B460" t="inlineStr">
        <is>
          <t>avverkningsanmälan</t>
        </is>
      </c>
      <c r="C460" t="inlineStr">
        <is>
          <t>Föryngringsavverkning</t>
        </is>
      </c>
      <c r="D460" s="1" t="n">
        <v>46000</v>
      </c>
      <c r="E460" s="1" t="n">
        <v>46322</v>
      </c>
      <c r="F460" t="inlineStr">
        <is>
          <t>JÖNKÖPINGS LÄN</t>
        </is>
      </c>
      <c r="G460" t="inlineStr">
        <is>
          <t>NÄSSJÖ</t>
        </is>
      </c>
      <c r="I460" t="n">
        <v>1.7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s="2" t="inlineStr"/>
    </row>
    <row r="461" ht="15" customHeight="1">
      <c r="A461" t="inlineStr">
        <is>
          <t>A 22173-2023</t>
        </is>
      </c>
      <c r="B461" t="inlineStr">
        <is>
          <t>avverkningsanmälan</t>
        </is>
      </c>
      <c r="C461" t="inlineStr">
        <is>
          <t>Föryngringsavverkning</t>
        </is>
      </c>
      <c r="D461" s="1" t="n">
        <v>45069</v>
      </c>
      <c r="E461" s="1" t="n">
        <v>46322</v>
      </c>
      <c r="F461" t="inlineStr">
        <is>
          <t>JÖNKÖPINGS LÄN</t>
        </is>
      </c>
      <c r="G461" t="inlineStr">
        <is>
          <t>NÄSSJÖ</t>
        </is>
      </c>
      <c r="I461" t="n">
        <v>0.4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s="2" t="inlineStr"/>
    </row>
    <row r="462" ht="15" customHeight="1">
      <c r="A462" t="inlineStr">
        <is>
          <t>A 5463-2025</t>
        </is>
      </c>
      <c r="B462" t="inlineStr">
        <is>
          <t>avverkningsanmälan</t>
        </is>
      </c>
      <c r="C462" t="inlineStr">
        <is>
          <t>Föryngringsavverkning</t>
        </is>
      </c>
      <c r="D462" s="1" t="n">
        <v>45693</v>
      </c>
      <c r="E462" s="1" t="n">
        <v>46322</v>
      </c>
      <c r="F462" t="inlineStr">
        <is>
          <t>JÖNKÖPINGS LÄN</t>
        </is>
      </c>
      <c r="G462" t="inlineStr">
        <is>
          <t>NÄSSJÖ</t>
        </is>
      </c>
      <c r="I462" t="n">
        <v>9.300000000000001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s="2" t="inlineStr"/>
    </row>
    <row r="463" ht="15" customHeight="1">
      <c r="A463" t="inlineStr">
        <is>
          <t>A 39732-2026</t>
        </is>
      </c>
      <c r="B463" t="inlineStr">
        <is>
          <t>avverkningsanmälan</t>
        </is>
      </c>
      <c r="C463" t="inlineStr">
        <is>
          <t>Föryngringsavverkning</t>
        </is>
      </c>
      <c r="D463" s="1" t="n">
        <v>46289</v>
      </c>
      <c r="E463" s="1" t="n">
        <v>46322</v>
      </c>
      <c r="F463" t="inlineStr">
        <is>
          <t>JÖNKÖPINGS LÄN</t>
        </is>
      </c>
      <c r="G463" t="inlineStr">
        <is>
          <t>NÄSSJÖ</t>
        </is>
      </c>
      <c r="H463" t="inlineStr">
        <is>
          <t>Kyrkan</t>
        </is>
      </c>
      <c r="I463" t="n">
        <v>4.4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s="2" t="inlineStr"/>
    </row>
    <row r="464" ht="15" customHeight="1">
      <c r="A464" t="inlineStr">
        <is>
          <t>A 39845-2026</t>
        </is>
      </c>
      <c r="B464" t="inlineStr">
        <is>
          <t>avverkningsanmälan</t>
        </is>
      </c>
      <c r="C464" t="inlineStr">
        <is>
          <t>Föryngringsavverkning</t>
        </is>
      </c>
      <c r="D464" s="1" t="n">
        <v>46290</v>
      </c>
      <c r="E464" s="1" t="n">
        <v>46322</v>
      </c>
      <c r="F464" t="inlineStr">
        <is>
          <t>JÖNKÖPINGS LÄN</t>
        </is>
      </c>
      <c r="G464" t="inlineStr">
        <is>
          <t>NÄSSJÖ</t>
        </is>
      </c>
      <c r="I464" t="n">
        <v>1.5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s="2" t="inlineStr"/>
    </row>
    <row r="465" ht="15" customHeight="1">
      <c r="A465" t="inlineStr">
        <is>
          <t>A 39832-2023</t>
        </is>
      </c>
      <c r="B465" t="inlineStr">
        <is>
          <t>avverkningsanmälan</t>
        </is>
      </c>
      <c r="C465" t="inlineStr">
        <is>
          <t>Föryngringsavverkning</t>
        </is>
      </c>
      <c r="D465" s="1" t="n">
        <v>45168</v>
      </c>
      <c r="E465" s="1" t="n">
        <v>46322</v>
      </c>
      <c r="F465" t="inlineStr">
        <is>
          <t>JÖNKÖPINGS LÄN</t>
        </is>
      </c>
      <c r="G465" t="inlineStr">
        <is>
          <t>NÄSSJÖ</t>
        </is>
      </c>
      <c r="I465" t="n">
        <v>0.4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s="2" t="inlineStr"/>
    </row>
    <row r="466" ht="15" customHeight="1">
      <c r="A466" t="inlineStr">
        <is>
          <t>A 21184-2026</t>
        </is>
      </c>
      <c r="B466" t="inlineStr">
        <is>
          <t>avverkningsanmälan</t>
        </is>
      </c>
      <c r="C466" t="inlineStr">
        <is>
          <t>Föryngringsavverkning</t>
        </is>
      </c>
      <c r="D466" s="1" t="n">
        <v>46146</v>
      </c>
      <c r="E466" s="1" t="n">
        <v>46322</v>
      </c>
      <c r="F466" t="inlineStr">
        <is>
          <t>JÖNKÖPINGS LÄN</t>
        </is>
      </c>
      <c r="G466" t="inlineStr">
        <is>
          <t>NÄSSJÖ</t>
        </is>
      </c>
      <c r="I466" t="n">
        <v>1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s="2" t="inlineStr"/>
    </row>
    <row r="467" ht="15" customHeight="1">
      <c r="A467" t="inlineStr">
        <is>
          <t>A 15829-2024</t>
        </is>
      </c>
      <c r="B467" t="inlineStr">
        <is>
          <t>avverkningsanmälan</t>
        </is>
      </c>
      <c r="C467" t="inlineStr">
        <is>
          <t>Avverkning för annat ändamål</t>
        </is>
      </c>
      <c r="D467" s="1" t="n">
        <v>45404</v>
      </c>
      <c r="E467" s="1" t="n">
        <v>46322</v>
      </c>
      <c r="F467" t="inlineStr">
        <is>
          <t>JÖNKÖPINGS LÄN</t>
        </is>
      </c>
      <c r="G467" t="inlineStr">
        <is>
          <t>NÄSSJÖ</t>
        </is>
      </c>
      <c r="I467" t="n">
        <v>2.2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s="2" t="inlineStr"/>
    </row>
    <row r="468" ht="15" customHeight="1">
      <c r="A468" t="inlineStr">
        <is>
          <t>A 14642-2025</t>
        </is>
      </c>
      <c r="B468" t="inlineStr">
        <is>
          <t>avverkningsanmälan</t>
        </is>
      </c>
      <c r="C468" t="inlineStr">
        <is>
          <t>Föryngringsavverkning</t>
        </is>
      </c>
      <c r="D468" s="1" t="n">
        <v>45742</v>
      </c>
      <c r="E468" s="1" t="n">
        <v>46322</v>
      </c>
      <c r="F468" t="inlineStr">
        <is>
          <t>JÖNKÖPINGS LÄN</t>
        </is>
      </c>
      <c r="G468" t="inlineStr">
        <is>
          <t>NÄSSJÖ</t>
        </is>
      </c>
      <c r="I468" t="n">
        <v>1.3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s="2" t="inlineStr"/>
    </row>
    <row r="469" ht="15" customHeight="1">
      <c r="A469" t="inlineStr">
        <is>
          <t>A 50072-2023</t>
        </is>
      </c>
      <c r="B469" t="inlineStr">
        <is>
          <t>avverkningsanmälan</t>
        </is>
      </c>
      <c r="C469" t="inlineStr">
        <is>
          <t>Föryngringsavverkning</t>
        </is>
      </c>
      <c r="D469" s="1" t="n">
        <v>45215</v>
      </c>
      <c r="E469" s="1" t="n">
        <v>46322</v>
      </c>
      <c r="F469" t="inlineStr">
        <is>
          <t>JÖNKÖPINGS LÄN</t>
        </is>
      </c>
      <c r="G469" t="inlineStr">
        <is>
          <t>NÄSSJÖ</t>
        </is>
      </c>
      <c r="I469" t="n">
        <v>0.5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s="2" t="inlineStr"/>
    </row>
    <row r="470" ht="15" customHeight="1">
      <c r="A470" t="inlineStr">
        <is>
          <t>A 33882-2026</t>
        </is>
      </c>
      <c r="B470" t="inlineStr">
        <is>
          <t>avverkningsanmälan</t>
        </is>
      </c>
      <c r="C470" t="inlineStr">
        <is>
          <t>Föryngringsavverkning</t>
        </is>
      </c>
      <c r="D470" s="1" t="n">
        <v>46249</v>
      </c>
      <c r="E470" s="1" t="n">
        <v>46322</v>
      </c>
      <c r="F470" t="inlineStr">
        <is>
          <t>JÖNKÖPINGS LÄN</t>
        </is>
      </c>
      <c r="G470" t="inlineStr">
        <is>
          <t>NÄSSJÖ</t>
        </is>
      </c>
      <c r="I470" t="n">
        <v>8.800000000000001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s="2" t="inlineStr"/>
    </row>
    <row r="471" ht="15" customHeight="1">
      <c r="A471" t="inlineStr">
        <is>
          <t>A 60433-2023</t>
        </is>
      </c>
      <c r="B471" t="inlineStr">
        <is>
          <t>avverkningsanmälan</t>
        </is>
      </c>
      <c r="C471" t="inlineStr">
        <is>
          <t>Föryngringsavverkning</t>
        </is>
      </c>
      <c r="D471" s="1" t="n">
        <v>45259</v>
      </c>
      <c r="E471" s="1" t="n">
        <v>46322</v>
      </c>
      <c r="F471" t="inlineStr">
        <is>
          <t>JÖNKÖPINGS LÄN</t>
        </is>
      </c>
      <c r="G471" t="inlineStr">
        <is>
          <t>NÄSSJÖ</t>
        </is>
      </c>
      <c r="I471" t="n">
        <v>1.4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s="2" t="inlineStr"/>
    </row>
    <row r="472" ht="15" customHeight="1">
      <c r="A472" t="inlineStr">
        <is>
          <t>A 40227-2026</t>
        </is>
      </c>
      <c r="B472" t="inlineStr">
        <is>
          <t>avverkningsanmälan</t>
        </is>
      </c>
      <c r="C472" t="inlineStr">
        <is>
          <t>Föryngringsavverkning</t>
        </is>
      </c>
      <c r="D472" s="1" t="n">
        <v>46294</v>
      </c>
      <c r="E472" s="1" t="n">
        <v>46322</v>
      </c>
      <c r="F472" t="inlineStr">
        <is>
          <t>JÖNKÖPINGS LÄN</t>
        </is>
      </c>
      <c r="G472" t="inlineStr">
        <is>
          <t>NÄSSJÖ</t>
        </is>
      </c>
      <c r="I472" t="n">
        <v>2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s="2" t="inlineStr"/>
    </row>
    <row r="473" ht="15" customHeight="1">
      <c r="A473" t="inlineStr">
        <is>
          <t>A 40543-2026</t>
        </is>
      </c>
      <c r="B473" t="inlineStr">
        <is>
          <t>avverkningsanmälan</t>
        </is>
      </c>
      <c r="C473" t="inlineStr">
        <is>
          <t>Avverkning för annat ändamål</t>
        </is>
      </c>
      <c r="D473" s="1" t="n">
        <v>46295</v>
      </c>
      <c r="E473" s="1" t="n">
        <v>46322</v>
      </c>
      <c r="F473" t="inlineStr">
        <is>
          <t>JÖNKÖPINGS LÄN</t>
        </is>
      </c>
      <c r="G473" t="inlineStr">
        <is>
          <t>NÄSSJÖ</t>
        </is>
      </c>
      <c r="I473" t="n">
        <v>1.4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s="2" t="inlineStr"/>
    </row>
    <row r="474" ht="15" customHeight="1">
      <c r="A474" t="inlineStr">
        <is>
          <t>A 22408-2026</t>
        </is>
      </c>
      <c r="B474" t="inlineStr">
        <is>
          <t>avverkningsanmälan</t>
        </is>
      </c>
      <c r="C474" t="inlineStr">
        <is>
          <t>Föryngringsavverkning</t>
        </is>
      </c>
      <c r="D474" s="1" t="n">
        <v>46154</v>
      </c>
      <c r="E474" s="1" t="n">
        <v>46322</v>
      </c>
      <c r="F474" t="inlineStr">
        <is>
          <t>JÖNKÖPINGS LÄN</t>
        </is>
      </c>
      <c r="G474" t="inlineStr">
        <is>
          <t>NÄSSJÖ</t>
        </is>
      </c>
      <c r="I474" t="n">
        <v>1.2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s="2" t="inlineStr"/>
    </row>
    <row r="475" ht="15" customHeight="1">
      <c r="A475" t="inlineStr">
        <is>
          <t>A 22170-2023</t>
        </is>
      </c>
      <c r="B475" t="inlineStr">
        <is>
          <t>avverkningsanmälan</t>
        </is>
      </c>
      <c r="C475" t="inlineStr">
        <is>
          <t>Föryngringsavverkning</t>
        </is>
      </c>
      <c r="D475" s="1" t="n">
        <v>45069</v>
      </c>
      <c r="E475" s="1" t="n">
        <v>46322</v>
      </c>
      <c r="F475" t="inlineStr">
        <is>
          <t>JÖNKÖPINGS LÄN</t>
        </is>
      </c>
      <c r="G475" t="inlineStr">
        <is>
          <t>NÄSSJÖ</t>
        </is>
      </c>
      <c r="I475" t="n">
        <v>0.5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s="2" t="inlineStr"/>
    </row>
    <row r="476" ht="15" customHeight="1">
      <c r="A476" t="inlineStr">
        <is>
          <t>A 32542-2025</t>
        </is>
      </c>
      <c r="B476" t="inlineStr">
        <is>
          <t>avverkningsanmälan</t>
        </is>
      </c>
      <c r="C476" t="inlineStr">
        <is>
          <t>Föryngringsavverkning</t>
        </is>
      </c>
      <c r="D476" s="1" t="n">
        <v>45838</v>
      </c>
      <c r="E476" s="1" t="n">
        <v>46322</v>
      </c>
      <c r="F476" t="inlineStr">
        <is>
          <t>JÖNKÖPINGS LÄN</t>
        </is>
      </c>
      <c r="G476" t="inlineStr">
        <is>
          <t>NÄSSJÖ</t>
        </is>
      </c>
      <c r="I476" t="n">
        <v>3.5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s="2" t="inlineStr"/>
    </row>
    <row r="477" ht="15" customHeight="1">
      <c r="A477" t="inlineStr">
        <is>
          <t>A 62002-2023</t>
        </is>
      </c>
      <c r="B477" t="inlineStr">
        <is>
          <t>avverkningsanmälan</t>
        </is>
      </c>
      <c r="C477" t="inlineStr">
        <is>
          <t>Föryngringsavverkning</t>
        </is>
      </c>
      <c r="D477" s="1" t="n">
        <v>45266</v>
      </c>
      <c r="E477" s="1" t="n">
        <v>46322</v>
      </c>
      <c r="F477" t="inlineStr">
        <is>
          <t>JÖNKÖPINGS LÄN</t>
        </is>
      </c>
      <c r="G477" t="inlineStr">
        <is>
          <t>NÄSSJÖ</t>
        </is>
      </c>
      <c r="I477" t="n">
        <v>1.3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s="2" t="inlineStr"/>
    </row>
    <row r="478" ht="15" customHeight="1">
      <c r="A478" t="inlineStr">
        <is>
          <t>A 52605-2022</t>
        </is>
      </c>
      <c r="B478" t="inlineStr">
        <is>
          <t>avverkningsanmälan</t>
        </is>
      </c>
      <c r="C478" t="inlineStr">
        <is>
          <t>Föryngringsavverkning</t>
        </is>
      </c>
      <c r="D478" s="1" t="n">
        <v>44874</v>
      </c>
      <c r="E478" s="1" t="n">
        <v>46322</v>
      </c>
      <c r="F478" t="inlineStr">
        <is>
          <t>JÖNKÖPINGS LÄN</t>
        </is>
      </c>
      <c r="G478" t="inlineStr">
        <is>
          <t>NÄSSJÖ</t>
        </is>
      </c>
      <c r="I478" t="n">
        <v>2.4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s="2" t="inlineStr"/>
    </row>
    <row r="479" ht="15" customHeight="1">
      <c r="A479" t="inlineStr">
        <is>
          <t>A 40225-2026</t>
        </is>
      </c>
      <c r="B479" t="inlineStr">
        <is>
          <t>avverkningsanmälan</t>
        </is>
      </c>
      <c r="C479" t="inlineStr">
        <is>
          <t>Föryngringsavverkning</t>
        </is>
      </c>
      <c r="D479" s="1" t="n">
        <v>46294</v>
      </c>
      <c r="E479" s="1" t="n">
        <v>46322</v>
      </c>
      <c r="F479" t="inlineStr">
        <is>
          <t>JÖNKÖPINGS LÄN</t>
        </is>
      </c>
      <c r="G479" t="inlineStr">
        <is>
          <t>NÄSSJÖ</t>
        </is>
      </c>
      <c r="I479" t="n">
        <v>1.1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s="2" t="inlineStr"/>
    </row>
    <row r="480" ht="15" customHeight="1">
      <c r="A480" t="inlineStr">
        <is>
          <t>A 40226-2026</t>
        </is>
      </c>
      <c r="B480" t="inlineStr">
        <is>
          <t>avverkningsanmälan</t>
        </is>
      </c>
      <c r="C480" t="inlineStr">
        <is>
          <t>Föryngringsavverkning</t>
        </is>
      </c>
      <c r="D480" s="1" t="n">
        <v>46294</v>
      </c>
      <c r="E480" s="1" t="n">
        <v>46322</v>
      </c>
      <c r="F480" t="inlineStr">
        <is>
          <t>JÖNKÖPINGS LÄN</t>
        </is>
      </c>
      <c r="G480" t="inlineStr">
        <is>
          <t>NÄSSJÖ</t>
        </is>
      </c>
      <c r="I480" t="n">
        <v>0.6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s="2" t="inlineStr"/>
    </row>
    <row r="481" ht="15" customHeight="1">
      <c r="A481" t="inlineStr">
        <is>
          <t>A 53636-2024</t>
        </is>
      </c>
      <c r="B481" t="inlineStr">
        <is>
          <t>avverkningsanmälan</t>
        </is>
      </c>
      <c r="C481" t="inlineStr">
        <is>
          <t>Föryngringsavverkning</t>
        </is>
      </c>
      <c r="D481" s="1" t="n">
        <v>45614</v>
      </c>
      <c r="E481" s="1" t="n">
        <v>46322</v>
      </c>
      <c r="F481" t="inlineStr">
        <is>
          <t>JÖNKÖPINGS LÄN</t>
        </is>
      </c>
      <c r="G481" t="inlineStr">
        <is>
          <t>NÄSSJÖ</t>
        </is>
      </c>
      <c r="I481" t="n">
        <v>1.9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s="2" t="inlineStr"/>
    </row>
    <row r="482" ht="15" customHeight="1">
      <c r="A482" t="inlineStr">
        <is>
          <t>A 23626-2026</t>
        </is>
      </c>
      <c r="B482" t="inlineStr">
        <is>
          <t>avverkningsanmälan</t>
        </is>
      </c>
      <c r="C482" t="inlineStr">
        <is>
          <t>Föryngringsavverkning</t>
        </is>
      </c>
      <c r="D482" s="1" t="n">
        <v>46163</v>
      </c>
      <c r="E482" s="1" t="n">
        <v>46322</v>
      </c>
      <c r="F482" t="inlineStr">
        <is>
          <t>JÖNKÖPINGS LÄN</t>
        </is>
      </c>
      <c r="G482" t="inlineStr">
        <is>
          <t>NÄSSJÖ</t>
        </is>
      </c>
      <c r="H482" t="inlineStr">
        <is>
          <t>Sveaskog</t>
        </is>
      </c>
      <c r="I482" t="n">
        <v>1.1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s="2" t="inlineStr"/>
    </row>
    <row r="483" ht="15" customHeight="1">
      <c r="A483" t="inlineStr">
        <is>
          <t>A 57758-2023</t>
        </is>
      </c>
      <c r="B483" t="inlineStr">
        <is>
          <t>avverkningsanmälan</t>
        </is>
      </c>
      <c r="C483" t="inlineStr">
        <is>
          <t>Föryngringsavverkning</t>
        </is>
      </c>
      <c r="D483" s="1" t="n">
        <v>45246</v>
      </c>
      <c r="E483" s="1" t="n">
        <v>46322</v>
      </c>
      <c r="F483" t="inlineStr">
        <is>
          <t>JÖNKÖPINGS LÄN</t>
        </is>
      </c>
      <c r="G483" t="inlineStr">
        <is>
          <t>NÄSSJÖ</t>
        </is>
      </c>
      <c r="I483" t="n">
        <v>1.8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s="2" t="inlineStr"/>
    </row>
    <row r="484" ht="15" customHeight="1">
      <c r="A484" t="inlineStr">
        <is>
          <t>A 33888-2026</t>
        </is>
      </c>
      <c r="B484" t="inlineStr">
        <is>
          <t>avverkningsanmälan</t>
        </is>
      </c>
      <c r="C484" t="inlineStr">
        <is>
          <t>Föryngringsavverkning</t>
        </is>
      </c>
      <c r="D484" s="1" t="n">
        <v>46248</v>
      </c>
      <c r="E484" s="1" t="n">
        <v>46322</v>
      </c>
      <c r="F484" t="inlineStr">
        <is>
          <t>JÖNKÖPINGS LÄN</t>
        </is>
      </c>
      <c r="G484" t="inlineStr">
        <is>
          <t>NÄSSJÖ</t>
        </is>
      </c>
      <c r="I484" t="n">
        <v>3.5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s="2" t="inlineStr"/>
    </row>
    <row r="485" ht="15" customHeight="1">
      <c r="A485" t="inlineStr">
        <is>
          <t>A 40539-2026</t>
        </is>
      </c>
      <c r="B485" t="inlineStr">
        <is>
          <t>avverkningsanmälan</t>
        </is>
      </c>
      <c r="C485" t="inlineStr">
        <is>
          <t>Avverkning för annat ändamål</t>
        </is>
      </c>
      <c r="D485" s="1" t="n">
        <v>46295</v>
      </c>
      <c r="E485" s="1" t="n">
        <v>46322</v>
      </c>
      <c r="F485" t="inlineStr">
        <is>
          <t>JÖNKÖPINGS LÄN</t>
        </is>
      </c>
      <c r="G485" t="inlineStr">
        <is>
          <t>NÄSSJÖ</t>
        </is>
      </c>
      <c r="I485" t="n">
        <v>0.6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s="2" t="inlineStr"/>
    </row>
    <row r="486" ht="15" customHeight="1">
      <c r="A486" t="inlineStr">
        <is>
          <t>A 40545-2026</t>
        </is>
      </c>
      <c r="B486" t="inlineStr">
        <is>
          <t>avverkningsanmälan</t>
        </is>
      </c>
      <c r="C486" t="inlineStr">
        <is>
          <t>Avverkning för annat ändamål</t>
        </is>
      </c>
      <c r="D486" s="1" t="n">
        <v>46295</v>
      </c>
      <c r="E486" s="1" t="n">
        <v>46322</v>
      </c>
      <c r="F486" t="inlineStr">
        <is>
          <t>JÖNKÖPINGS LÄN</t>
        </is>
      </c>
      <c r="G486" t="inlineStr">
        <is>
          <t>NÄSSJÖ</t>
        </is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s="2" t="inlineStr"/>
    </row>
    <row r="487" ht="15" customHeight="1">
      <c r="A487" t="inlineStr">
        <is>
          <t>A 40332-2026</t>
        </is>
      </c>
      <c r="B487" t="inlineStr">
        <is>
          <t>avverkningsanmälan</t>
        </is>
      </c>
      <c r="C487" t="inlineStr">
        <is>
          <t>Föryngringsavverkning</t>
        </is>
      </c>
      <c r="D487" s="1" t="n">
        <v>46294</v>
      </c>
      <c r="E487" s="1" t="n">
        <v>46322</v>
      </c>
      <c r="F487" t="inlineStr">
        <is>
          <t>JÖNKÖPINGS LÄN</t>
        </is>
      </c>
      <c r="G487" t="inlineStr">
        <is>
          <t>NÄSSJÖ</t>
        </is>
      </c>
      <c r="I487" t="n">
        <v>2.1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s="2" t="inlineStr"/>
    </row>
    <row r="488" ht="15" customHeight="1">
      <c r="A488" t="inlineStr">
        <is>
          <t>A 40541-2026</t>
        </is>
      </c>
      <c r="B488" t="inlineStr">
        <is>
          <t>avverkningsanmälan</t>
        </is>
      </c>
      <c r="C488" t="inlineStr">
        <is>
          <t>Avverkning för annat ändamål</t>
        </is>
      </c>
      <c r="D488" s="1" t="n">
        <v>46295</v>
      </c>
      <c r="E488" s="1" t="n">
        <v>46322</v>
      </c>
      <c r="F488" t="inlineStr">
        <is>
          <t>JÖNKÖPINGS LÄN</t>
        </is>
      </c>
      <c r="G488" t="inlineStr">
        <is>
          <t>NÄSSJÖ</t>
        </is>
      </c>
      <c r="I488" t="n">
        <v>2.4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s="2" t="inlineStr"/>
    </row>
    <row r="489" ht="15" customHeight="1">
      <c r="A489" t="inlineStr">
        <is>
          <t>A 35967-2023</t>
        </is>
      </c>
      <c r="B489" t="inlineStr">
        <is>
          <t>avverkningsanmälan</t>
        </is>
      </c>
      <c r="C489" t="inlineStr">
        <is>
          <t>Föryngringsavverkning</t>
        </is>
      </c>
      <c r="D489" s="1" t="n">
        <v>45148</v>
      </c>
      <c r="E489" s="1" t="n">
        <v>46322</v>
      </c>
      <c r="F489" t="inlineStr">
        <is>
          <t>JÖNKÖPINGS LÄN</t>
        </is>
      </c>
      <c r="G489" t="inlineStr">
        <is>
          <t>NÄSSJÖ</t>
        </is>
      </c>
      <c r="I489" t="n">
        <v>0.9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s="2" t="inlineStr"/>
    </row>
    <row r="490" ht="15" customHeight="1">
      <c r="A490" t="inlineStr">
        <is>
          <t>A 15819-2022</t>
        </is>
      </c>
      <c r="B490" t="inlineStr">
        <is>
          <t>avverkningsanmälan</t>
        </is>
      </c>
      <c r="C490" t="inlineStr">
        <is>
          <t>Föryngringsavverkning</t>
        </is>
      </c>
      <c r="D490" s="1" t="n">
        <v>44664</v>
      </c>
      <c r="E490" s="1" t="n">
        <v>46322</v>
      </c>
      <c r="F490" t="inlineStr">
        <is>
          <t>JÖNKÖPINGS LÄN</t>
        </is>
      </c>
      <c r="G490" t="inlineStr">
        <is>
          <t>NÄSSJÖ</t>
        </is>
      </c>
      <c r="I490" t="n">
        <v>1.6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s="2" t="inlineStr"/>
    </row>
    <row r="491" ht="15" customHeight="1">
      <c r="A491" t="inlineStr">
        <is>
          <t>A 50552-2023</t>
        </is>
      </c>
      <c r="B491" t="inlineStr">
        <is>
          <t>avverkningsanmälan</t>
        </is>
      </c>
      <c r="C491" t="inlineStr">
        <is>
          <t>Föryngringsavverkning</t>
        </is>
      </c>
      <c r="D491" s="1" t="n">
        <v>45210</v>
      </c>
      <c r="E491" s="1" t="n">
        <v>46322</v>
      </c>
      <c r="F491" t="inlineStr">
        <is>
          <t>JÖNKÖPINGS LÄN</t>
        </is>
      </c>
      <c r="G491" t="inlineStr">
        <is>
          <t>NÄSSJÖ</t>
        </is>
      </c>
      <c r="I491" t="n">
        <v>0.5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s="2" t="inlineStr"/>
    </row>
    <row r="492" ht="15" customHeight="1">
      <c r="A492" t="inlineStr">
        <is>
          <t>A 24560-2026</t>
        </is>
      </c>
      <c r="B492" t="inlineStr">
        <is>
          <t>avverkningsanmälan</t>
        </is>
      </c>
      <c r="C492" t="inlineStr">
        <is>
          <t>Föryngringsavverkning</t>
        </is>
      </c>
      <c r="D492" s="1" t="n">
        <v>46170</v>
      </c>
      <c r="E492" s="1" t="n">
        <v>46322</v>
      </c>
      <c r="F492" t="inlineStr">
        <is>
          <t>JÖNKÖPINGS LÄN</t>
        </is>
      </c>
      <c r="G492" t="inlineStr">
        <is>
          <t>NÄSSJÖ</t>
        </is>
      </c>
      <c r="I492" t="n">
        <v>2.4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s="2" t="inlineStr"/>
    </row>
    <row r="493" ht="15" customHeight="1">
      <c r="A493" t="inlineStr">
        <is>
          <t>A 58541-2022</t>
        </is>
      </c>
      <c r="B493" t="inlineStr">
        <is>
          <t>avverkningsanmälan</t>
        </is>
      </c>
      <c r="C493" t="inlineStr">
        <is>
          <t>Föryngringsavverkning</t>
        </is>
      </c>
      <c r="D493" s="1" t="n">
        <v>44902</v>
      </c>
      <c r="E493" s="1" t="n">
        <v>46322</v>
      </c>
      <c r="F493" t="inlineStr">
        <is>
          <t>JÖNKÖPINGS LÄN</t>
        </is>
      </c>
      <c r="G493" t="inlineStr">
        <is>
          <t>NÄSSJÖ</t>
        </is>
      </c>
      <c r="I493" t="n">
        <v>1.2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s="2" t="inlineStr"/>
    </row>
    <row r="494" ht="15" customHeight="1">
      <c r="A494" t="inlineStr">
        <is>
          <t>A 46729-2023</t>
        </is>
      </c>
      <c r="B494" t="inlineStr">
        <is>
          <t>avverkningsanmälan</t>
        </is>
      </c>
      <c r="C494" t="inlineStr">
        <is>
          <t>Föryngringsavverkning</t>
        </is>
      </c>
      <c r="D494" s="1" t="n">
        <v>45198</v>
      </c>
      <c r="E494" s="1" t="n">
        <v>46322</v>
      </c>
      <c r="F494" t="inlineStr">
        <is>
          <t>JÖNKÖPINGS LÄN</t>
        </is>
      </c>
      <c r="G494" t="inlineStr">
        <is>
          <t>NÄSSJÖ</t>
        </is>
      </c>
      <c r="I494" t="n">
        <v>1.6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s="2" t="inlineStr"/>
    </row>
    <row r="495" ht="15" customHeight="1">
      <c r="A495" t="inlineStr">
        <is>
          <t>A 24867-2026</t>
        </is>
      </c>
      <c r="B495" t="inlineStr">
        <is>
          <t>avverkningsanmälan</t>
        </is>
      </c>
      <c r="C495" t="inlineStr">
        <is>
          <t>Föryngringsavverkning</t>
        </is>
      </c>
      <c r="D495" s="1" t="n">
        <v>46174</v>
      </c>
      <c r="E495" s="1" t="n">
        <v>46322</v>
      </c>
      <c r="F495" t="inlineStr">
        <is>
          <t>JÖNKÖPINGS LÄN</t>
        </is>
      </c>
      <c r="G495" t="inlineStr">
        <is>
          <t>NÄSSJÖ</t>
        </is>
      </c>
      <c r="I495" t="n">
        <v>1.7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s="2" t="inlineStr"/>
    </row>
    <row r="496" ht="15" customHeight="1">
      <c r="A496" t="inlineStr">
        <is>
          <t>A 24873-2026</t>
        </is>
      </c>
      <c r="B496" t="inlineStr">
        <is>
          <t>avverkningsanmälan</t>
        </is>
      </c>
      <c r="C496" t="inlineStr">
        <is>
          <t>Avverkning för att bevara och utveckla /försöksver</t>
        </is>
      </c>
      <c r="D496" s="1" t="n">
        <v>46174</v>
      </c>
      <c r="E496" s="1" t="n">
        <v>46322</v>
      </c>
      <c r="F496" t="inlineStr">
        <is>
          <t>JÖNKÖPINGS LÄN</t>
        </is>
      </c>
      <c r="G496" t="inlineStr">
        <is>
          <t>NÄSSJÖ</t>
        </is>
      </c>
      <c r="H496" t="inlineStr">
        <is>
          <t>Sveaskog</t>
        </is>
      </c>
      <c r="I496" t="n">
        <v>0.7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s="2" t="inlineStr"/>
    </row>
    <row r="497" ht="15" customHeight="1">
      <c r="A497" t="inlineStr">
        <is>
          <t>A 48465-2024</t>
        </is>
      </c>
      <c r="B497" t="inlineStr">
        <is>
          <t>avverkningsanmälan</t>
        </is>
      </c>
      <c r="C497" t="inlineStr">
        <is>
          <t>Föryngringsavverkning</t>
        </is>
      </c>
      <c r="D497" s="1" t="n">
        <v>45590</v>
      </c>
      <c r="E497" s="1" t="n">
        <v>46322</v>
      </c>
      <c r="F497" t="inlineStr">
        <is>
          <t>JÖNKÖPINGS LÄN</t>
        </is>
      </c>
      <c r="G497" t="inlineStr">
        <is>
          <t>NÄSSJÖ</t>
        </is>
      </c>
      <c r="I497" t="n">
        <v>1.1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s="2" t="inlineStr"/>
    </row>
    <row r="498" ht="15" customHeight="1">
      <c r="A498" t="inlineStr">
        <is>
          <t>A 24882-2026</t>
        </is>
      </c>
      <c r="B498" t="inlineStr">
        <is>
          <t>avverkningsanmälan</t>
        </is>
      </c>
      <c r="C498" t="inlineStr">
        <is>
          <t>Föryngringsavverkning</t>
        </is>
      </c>
      <c r="D498" s="1" t="n">
        <v>46174</v>
      </c>
      <c r="E498" s="1" t="n">
        <v>46322</v>
      </c>
      <c r="F498" t="inlineStr">
        <is>
          <t>JÖNKÖPINGS LÄN</t>
        </is>
      </c>
      <c r="G498" t="inlineStr">
        <is>
          <t>NÄSSJÖ</t>
        </is>
      </c>
      <c r="H498" t="inlineStr">
        <is>
          <t>Sveaskog</t>
        </is>
      </c>
      <c r="I498" t="n">
        <v>5.5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s="2" t="inlineStr"/>
    </row>
    <row r="499" ht="15" customHeight="1">
      <c r="A499" t="inlineStr">
        <is>
          <t>A 49440-2024</t>
        </is>
      </c>
      <c r="B499" t="inlineStr">
        <is>
          <t>avverkningsanmälan</t>
        </is>
      </c>
      <c r="C499" t="inlineStr">
        <is>
          <t>Föryngringsavverkning</t>
        </is>
      </c>
      <c r="D499" s="1" t="n">
        <v>45595</v>
      </c>
      <c r="E499" s="1" t="n">
        <v>46322</v>
      </c>
      <c r="F499" t="inlineStr">
        <is>
          <t>JÖNKÖPINGS LÄN</t>
        </is>
      </c>
      <c r="G499" t="inlineStr">
        <is>
          <t>NÄSSJÖ</t>
        </is>
      </c>
      <c r="I499" t="n">
        <v>0.4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s="2" t="inlineStr"/>
    </row>
    <row r="500" ht="15" customHeight="1">
      <c r="A500" t="inlineStr">
        <is>
          <t>A 24825-2026</t>
        </is>
      </c>
      <c r="B500" t="inlineStr">
        <is>
          <t>avverkningsanmälan</t>
        </is>
      </c>
      <c r="C500" t="inlineStr">
        <is>
          <t>Föryngringsavverkning</t>
        </is>
      </c>
      <c r="D500" s="1" t="n">
        <v>46174</v>
      </c>
      <c r="E500" s="1" t="n">
        <v>46322</v>
      </c>
      <c r="F500" t="inlineStr">
        <is>
          <t>JÖNKÖPINGS LÄN</t>
        </is>
      </c>
      <c r="G500" t="inlineStr">
        <is>
          <t>NÄSSJÖ</t>
        </is>
      </c>
      <c r="H500" t="inlineStr">
        <is>
          <t>Sveaskog</t>
        </is>
      </c>
      <c r="I500" t="n">
        <v>2.5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s="2" t="inlineStr"/>
    </row>
    <row r="501" ht="15" customHeight="1">
      <c r="A501" t="inlineStr">
        <is>
          <t>A 54694-2023</t>
        </is>
      </c>
      <c r="B501" t="inlineStr">
        <is>
          <t>avverkningsanmälan</t>
        </is>
      </c>
      <c r="C501" t="inlineStr">
        <is>
          <t>Föryngringsavverkning</t>
        </is>
      </c>
      <c r="D501" s="1" t="n">
        <v>45236</v>
      </c>
      <c r="E501" s="1" t="n">
        <v>46322</v>
      </c>
      <c r="F501" t="inlineStr">
        <is>
          <t>JÖNKÖPINGS LÄN</t>
        </is>
      </c>
      <c r="G501" t="inlineStr">
        <is>
          <t>NÄSSJÖ</t>
        </is>
      </c>
      <c r="I501" t="n">
        <v>2.1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s="2" t="inlineStr"/>
    </row>
    <row r="502" ht="15" customHeight="1">
      <c r="A502" t="inlineStr">
        <is>
          <t>A 17830-2024</t>
        </is>
      </c>
      <c r="B502" t="inlineStr">
        <is>
          <t>avverkningsanmälan</t>
        </is>
      </c>
      <c r="C502" t="inlineStr">
        <is>
          <t>Föryngringsavverkning</t>
        </is>
      </c>
      <c r="D502" s="1" t="n">
        <v>45419</v>
      </c>
      <c r="E502" s="1" t="n">
        <v>46322</v>
      </c>
      <c r="F502" t="inlineStr">
        <is>
          <t>JÖNKÖPINGS LÄN</t>
        </is>
      </c>
      <c r="G502" t="inlineStr">
        <is>
          <t>NÄSSJÖ</t>
        </is>
      </c>
      <c r="I502" t="n">
        <v>1.9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s="2" t="inlineStr"/>
    </row>
    <row r="503" ht="15" customHeight="1">
      <c r="A503" t="inlineStr">
        <is>
          <t>A 17319-2025</t>
        </is>
      </c>
      <c r="B503" t="inlineStr">
        <is>
          <t>avverkningsanmälan</t>
        </is>
      </c>
      <c r="C503" t="inlineStr">
        <is>
          <t>Föryngringsavverkning</t>
        </is>
      </c>
      <c r="D503" s="1" t="n">
        <v>45756</v>
      </c>
      <c r="E503" s="1" t="n">
        <v>46322</v>
      </c>
      <c r="F503" t="inlineStr">
        <is>
          <t>JÖNKÖPINGS LÄN</t>
        </is>
      </c>
      <c r="G503" t="inlineStr">
        <is>
          <t>NÄSSJÖ</t>
        </is>
      </c>
      <c r="I503" t="n">
        <v>3.3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s="2" t="inlineStr"/>
    </row>
    <row r="504" ht="15" customHeight="1">
      <c r="A504" t="inlineStr">
        <is>
          <t>A 38658-2022</t>
        </is>
      </c>
      <c r="B504" t="inlineStr">
        <is>
          <t>avverkningsanmälan</t>
        </is>
      </c>
      <c r="C504" t="inlineStr">
        <is>
          <t>Föryngringsavverkning</t>
        </is>
      </c>
      <c r="D504" s="1" t="n">
        <v>44813</v>
      </c>
      <c r="E504" s="1" t="n">
        <v>46322</v>
      </c>
      <c r="F504" t="inlineStr">
        <is>
          <t>JÖNKÖPINGS LÄN</t>
        </is>
      </c>
      <c r="G504" t="inlineStr">
        <is>
          <t>NÄSSJÖ</t>
        </is>
      </c>
      <c r="I504" t="n">
        <v>1.8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s="2" t="inlineStr"/>
    </row>
    <row r="505" ht="15" customHeight="1">
      <c r="A505" t="inlineStr">
        <is>
          <t>A 38783-2022</t>
        </is>
      </c>
      <c r="B505" t="inlineStr">
        <is>
          <t>avverkningsanmälan</t>
        </is>
      </c>
      <c r="C505" t="inlineStr">
        <is>
          <t>Föryngringsavverkning</t>
        </is>
      </c>
      <c r="D505" s="1" t="n">
        <v>44816</v>
      </c>
      <c r="E505" s="1" t="n">
        <v>46322</v>
      </c>
      <c r="F505" t="inlineStr">
        <is>
          <t>JÖNKÖPINGS LÄN</t>
        </is>
      </c>
      <c r="G505" t="inlineStr">
        <is>
          <t>NÄSSJÖ</t>
        </is>
      </c>
      <c r="I505" t="n">
        <v>1.8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s="2" t="inlineStr"/>
    </row>
    <row r="506" ht="15" customHeight="1">
      <c r="A506" t="inlineStr">
        <is>
          <t>A 40955-2023</t>
        </is>
      </c>
      <c r="B506" t="inlineStr">
        <is>
          <t>avverkningsanmälan</t>
        </is>
      </c>
      <c r="C506" t="inlineStr">
        <is>
          <t>Föryngringsavverkning</t>
        </is>
      </c>
      <c r="D506" s="1" t="n">
        <v>45169</v>
      </c>
      <c r="E506" s="1" t="n">
        <v>46322</v>
      </c>
      <c r="F506" t="inlineStr">
        <is>
          <t>JÖNKÖPINGS LÄN</t>
        </is>
      </c>
      <c r="G506" t="inlineStr">
        <is>
          <t>NÄSSJÖ</t>
        </is>
      </c>
      <c r="I506" t="n">
        <v>1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s="2" t="inlineStr"/>
    </row>
    <row r="507" ht="15" customHeight="1">
      <c r="A507" t="inlineStr">
        <is>
          <t>A 34439-2026</t>
        </is>
      </c>
      <c r="B507" t="inlineStr">
        <is>
          <t>avverkningsanmälan</t>
        </is>
      </c>
      <c r="C507" t="inlineStr">
        <is>
          <t>Föryngringsavverkning</t>
        </is>
      </c>
      <c r="D507" s="1" t="n">
        <v>46254</v>
      </c>
      <c r="E507" s="1" t="n">
        <v>46322</v>
      </c>
      <c r="F507" t="inlineStr">
        <is>
          <t>JÖNKÖPINGS LÄN</t>
        </is>
      </c>
      <c r="G507" t="inlineStr">
        <is>
          <t>NÄSSJÖ</t>
        </is>
      </c>
      <c r="I507" t="n">
        <v>1.4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s="2" t="inlineStr"/>
    </row>
    <row r="508" ht="15" customHeight="1">
      <c r="A508" t="inlineStr">
        <is>
          <t>A 13096-2025</t>
        </is>
      </c>
      <c r="B508" t="inlineStr">
        <is>
          <t>avverkningsanmälan</t>
        </is>
      </c>
      <c r="C508" t="inlineStr">
        <is>
          <t>Föryngringsavverkning</t>
        </is>
      </c>
      <c r="D508" s="1" t="n">
        <v>45734</v>
      </c>
      <c r="E508" s="1" t="n">
        <v>46322</v>
      </c>
      <c r="F508" t="inlineStr">
        <is>
          <t>JÖNKÖPINGS LÄN</t>
        </is>
      </c>
      <c r="G508" t="inlineStr">
        <is>
          <t>NÄSSJÖ</t>
        </is>
      </c>
      <c r="I508" t="n">
        <v>8.699999999999999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s="2" t="inlineStr"/>
    </row>
    <row r="509" ht="15" customHeight="1">
      <c r="A509" t="inlineStr">
        <is>
          <t>A 11358-2024</t>
        </is>
      </c>
      <c r="B509" t="inlineStr">
        <is>
          <t>avverkningsanmälan</t>
        </is>
      </c>
      <c r="C509" t="inlineStr">
        <is>
          <t>Föryngringsavverkning</t>
        </is>
      </c>
      <c r="D509" s="1" t="n">
        <v>45372</v>
      </c>
      <c r="E509" s="1" t="n">
        <v>46322</v>
      </c>
      <c r="F509" t="inlineStr">
        <is>
          <t>JÖNKÖPINGS LÄN</t>
        </is>
      </c>
      <c r="G509" t="inlineStr">
        <is>
          <t>NÄSSJÖ</t>
        </is>
      </c>
      <c r="I509" t="n">
        <v>0.4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s="2" t="inlineStr"/>
    </row>
    <row r="510" ht="15" customHeight="1">
      <c r="A510" t="inlineStr">
        <is>
          <t>A 11363-2024</t>
        </is>
      </c>
      <c r="B510" t="inlineStr">
        <is>
          <t>avverkningsanmälan</t>
        </is>
      </c>
      <c r="C510" t="inlineStr">
        <is>
          <t>Föryngringsavverkning</t>
        </is>
      </c>
      <c r="D510" s="1" t="n">
        <v>45372</v>
      </c>
      <c r="E510" s="1" t="n">
        <v>46322</v>
      </c>
      <c r="F510" t="inlineStr">
        <is>
          <t>JÖNKÖPINGS LÄN</t>
        </is>
      </c>
      <c r="G510" t="inlineStr">
        <is>
          <t>NÄSSJÖ</t>
        </is>
      </c>
      <c r="I510" t="n">
        <v>4.4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s="2" t="inlineStr"/>
    </row>
    <row r="511" ht="15" customHeight="1">
      <c r="A511" t="inlineStr">
        <is>
          <t>A 11365-2024</t>
        </is>
      </c>
      <c r="B511" t="inlineStr">
        <is>
          <t>avverkningsanmälan</t>
        </is>
      </c>
      <c r="C511" t="inlineStr">
        <is>
          <t>Föryngringsavverkning</t>
        </is>
      </c>
      <c r="D511" s="1" t="n">
        <v>45372</v>
      </c>
      <c r="E511" s="1" t="n">
        <v>46322</v>
      </c>
      <c r="F511" t="inlineStr">
        <is>
          <t>JÖNKÖPINGS LÄN</t>
        </is>
      </c>
      <c r="G511" t="inlineStr">
        <is>
          <t>NÄSSJÖ</t>
        </is>
      </c>
      <c r="I511" t="n">
        <v>0.3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s="2" t="inlineStr"/>
    </row>
    <row r="512" ht="15" customHeight="1">
      <c r="A512" t="inlineStr">
        <is>
          <t>A 34377-2023</t>
        </is>
      </c>
      <c r="B512" t="inlineStr">
        <is>
          <t>avverkningsanmälan</t>
        </is>
      </c>
      <c r="C512" t="inlineStr">
        <is>
          <t>Föryngringsavverkning</t>
        </is>
      </c>
      <c r="D512" s="1" t="n">
        <v>45132</v>
      </c>
      <c r="E512" s="1" t="n">
        <v>46322</v>
      </c>
      <c r="F512" t="inlineStr">
        <is>
          <t>JÖNKÖPINGS LÄN</t>
        </is>
      </c>
      <c r="G512" t="inlineStr">
        <is>
          <t>NÄSSJÖ</t>
        </is>
      </c>
      <c r="I512" t="n">
        <v>3.2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s="2" t="inlineStr"/>
    </row>
    <row r="513" ht="15" customHeight="1">
      <c r="A513" t="inlineStr">
        <is>
          <t>A 38795-2022</t>
        </is>
      </c>
      <c r="B513" t="inlineStr">
        <is>
          <t>avverkningsanmälan</t>
        </is>
      </c>
      <c r="C513" t="inlineStr">
        <is>
          <t>Föryngringsavverkning</t>
        </is>
      </c>
      <c r="D513" s="1" t="n">
        <v>44816</v>
      </c>
      <c r="E513" s="1" t="n">
        <v>46322</v>
      </c>
      <c r="F513" t="inlineStr">
        <is>
          <t>JÖNKÖPINGS LÄN</t>
        </is>
      </c>
      <c r="G513" t="inlineStr">
        <is>
          <t>NÄSSJÖ</t>
        </is>
      </c>
      <c r="I513" t="n">
        <v>6.1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s="2" t="inlineStr"/>
    </row>
    <row r="514" ht="15" customHeight="1">
      <c r="A514" t="inlineStr">
        <is>
          <t>A 34688-2026</t>
        </is>
      </c>
      <c r="B514" t="inlineStr">
        <is>
          <t>avverkningsanmälan</t>
        </is>
      </c>
      <c r="C514" t="inlineStr">
        <is>
          <t>Föryngringsavverkning</t>
        </is>
      </c>
      <c r="D514" s="1" t="n">
        <v>46258</v>
      </c>
      <c r="E514" s="1" t="n">
        <v>46322</v>
      </c>
      <c r="F514" t="inlineStr">
        <is>
          <t>JÖNKÖPINGS LÄN</t>
        </is>
      </c>
      <c r="G514" t="inlineStr">
        <is>
          <t>NÄSSJÖ</t>
        </is>
      </c>
      <c r="I514" t="n">
        <v>1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s="2" t="inlineStr"/>
    </row>
    <row r="515" ht="15" customHeight="1">
      <c r="A515" t="inlineStr">
        <is>
          <t>A 7654-2023</t>
        </is>
      </c>
      <c r="B515" t="inlineStr">
        <is>
          <t>avverkningsanmälan</t>
        </is>
      </c>
      <c r="C515" t="inlineStr">
        <is>
          <t>Föryngringsavverkning</t>
        </is>
      </c>
      <c r="D515" s="1" t="n">
        <v>44972</v>
      </c>
      <c r="E515" s="1" t="n">
        <v>46322</v>
      </c>
      <c r="F515" t="inlineStr">
        <is>
          <t>JÖNKÖPINGS LÄN</t>
        </is>
      </c>
      <c r="G515" t="inlineStr">
        <is>
          <t>NÄSSJÖ</t>
        </is>
      </c>
      <c r="I515" t="n">
        <v>2.2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s="2" t="inlineStr"/>
    </row>
    <row r="516" ht="15" customHeight="1">
      <c r="A516" t="inlineStr">
        <is>
          <t>A 11917-2023</t>
        </is>
      </c>
      <c r="B516" t="inlineStr">
        <is>
          <t>avverkningsanmälan</t>
        </is>
      </c>
      <c r="C516" t="inlineStr">
        <is>
          <t>Föryngringsavverkning</t>
        </is>
      </c>
      <c r="D516" s="1" t="n">
        <v>44994</v>
      </c>
      <c r="E516" s="1" t="n">
        <v>46322</v>
      </c>
      <c r="F516" t="inlineStr">
        <is>
          <t>JÖNKÖPINGS LÄN</t>
        </is>
      </c>
      <c r="G516" t="inlineStr">
        <is>
          <t>NÄSSJÖ</t>
        </is>
      </c>
      <c r="I516" t="n">
        <v>6.3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s="2" t="inlineStr"/>
    </row>
    <row r="517" ht="15" customHeight="1">
      <c r="A517" t="inlineStr">
        <is>
          <t>A 11716-2024</t>
        </is>
      </c>
      <c r="B517" t="inlineStr">
        <is>
          <t>avverkningsanmälan</t>
        </is>
      </c>
      <c r="C517" t="inlineStr">
        <is>
          <t>Föryngringsavverkning</t>
        </is>
      </c>
      <c r="D517" s="1" t="n">
        <v>45373</v>
      </c>
      <c r="E517" s="1" t="n">
        <v>46322</v>
      </c>
      <c r="F517" t="inlineStr">
        <is>
          <t>JÖNKÖPINGS LÄN</t>
        </is>
      </c>
      <c r="G517" t="inlineStr">
        <is>
          <t>NÄSSJÖ</t>
        </is>
      </c>
      <c r="I517" t="n">
        <v>6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s="2" t="inlineStr"/>
    </row>
    <row r="518" ht="15" customHeight="1">
      <c r="A518" t="inlineStr">
        <is>
          <t>A 34687-2026</t>
        </is>
      </c>
      <c r="B518" t="inlineStr">
        <is>
          <t>avverkningsanmälan</t>
        </is>
      </c>
      <c r="C518" t="inlineStr">
        <is>
          <t>Föryngringsavverkning</t>
        </is>
      </c>
      <c r="D518" s="1" t="n">
        <v>46258</v>
      </c>
      <c r="E518" s="1" t="n">
        <v>46322</v>
      </c>
      <c r="F518" t="inlineStr">
        <is>
          <t>JÖNKÖPINGS LÄN</t>
        </is>
      </c>
      <c r="G518" t="inlineStr">
        <is>
          <t>NÄSSJÖ</t>
        </is>
      </c>
      <c r="I518" t="n">
        <v>1.6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s="2" t="inlineStr"/>
    </row>
    <row r="519" ht="15" customHeight="1">
      <c r="A519" t="inlineStr">
        <is>
          <t>A 14486-2024</t>
        </is>
      </c>
      <c r="B519" t="inlineStr">
        <is>
          <t>avverkningsanmälan</t>
        </is>
      </c>
      <c r="C519" t="inlineStr">
        <is>
          <t>Föryngringsavverkning</t>
        </is>
      </c>
      <c r="D519" s="1" t="n">
        <v>45394</v>
      </c>
      <c r="E519" s="1" t="n">
        <v>46322</v>
      </c>
      <c r="F519" t="inlineStr">
        <is>
          <t>JÖNKÖPINGS LÄN</t>
        </is>
      </c>
      <c r="G519" t="inlineStr">
        <is>
          <t>NÄSSJÖ</t>
        </is>
      </c>
      <c r="I519" t="n">
        <v>1.4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s="2" t="inlineStr"/>
    </row>
    <row r="520" ht="15" customHeight="1">
      <c r="A520" t="inlineStr">
        <is>
          <t>A 11523-2023</t>
        </is>
      </c>
      <c r="B520" t="inlineStr">
        <is>
          <t>avverkningsanmälan</t>
        </is>
      </c>
      <c r="C520" t="inlineStr">
        <is>
          <t>Föryngringsavverkning</t>
        </is>
      </c>
      <c r="D520" s="1" t="n">
        <v>44993</v>
      </c>
      <c r="E520" s="1" t="n">
        <v>46322</v>
      </c>
      <c r="F520" t="inlineStr">
        <is>
          <t>JÖNKÖPINGS LÄN</t>
        </is>
      </c>
      <c r="G520" t="inlineStr">
        <is>
          <t>NÄSSJÖ</t>
        </is>
      </c>
      <c r="I520" t="n">
        <v>1.3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s="2" t="inlineStr"/>
    </row>
    <row r="521" ht="15" customHeight="1">
      <c r="A521" t="inlineStr">
        <is>
          <t>A 35248-2026</t>
        </is>
      </c>
      <c r="B521" t="inlineStr">
        <is>
          <t>avverkningsanmälan</t>
        </is>
      </c>
      <c r="C521" t="inlineStr">
        <is>
          <t>Föryngringsavverkning</t>
        </is>
      </c>
      <c r="D521" s="1" t="n">
        <v>46260</v>
      </c>
      <c r="E521" s="1" t="n">
        <v>46322</v>
      </c>
      <c r="F521" t="inlineStr">
        <is>
          <t>JÖNKÖPINGS LÄN</t>
        </is>
      </c>
      <c r="G521" t="inlineStr">
        <is>
          <t>NÄSSJÖ</t>
        </is>
      </c>
      <c r="I521" t="n">
        <v>0.5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s="2" t="inlineStr"/>
    </row>
    <row r="522" ht="15" customHeight="1">
      <c r="A522" t="inlineStr">
        <is>
          <t>A 52669-2023</t>
        </is>
      </c>
      <c r="B522" t="inlineStr">
        <is>
          <t>avverkningsanmälan</t>
        </is>
      </c>
      <c r="C522" t="inlineStr">
        <is>
          <t>Föryngringsavverkning</t>
        </is>
      </c>
      <c r="D522" s="1" t="n">
        <v>45219</v>
      </c>
      <c r="E522" s="1" t="n">
        <v>46322</v>
      </c>
      <c r="F522" t="inlineStr">
        <is>
          <t>JÖNKÖPINGS LÄN</t>
        </is>
      </c>
      <c r="G522" t="inlineStr">
        <is>
          <t>NÄSSJÖ</t>
        </is>
      </c>
      <c r="I522" t="n">
        <v>1.1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s="2" t="inlineStr"/>
    </row>
    <row r="523" ht="15" customHeight="1">
      <c r="A523" t="inlineStr">
        <is>
          <t>A 5970-2025</t>
        </is>
      </c>
      <c r="B523" t="inlineStr">
        <is>
          <t>avverkningsanmälan</t>
        </is>
      </c>
      <c r="C523" t="inlineStr">
        <is>
          <t>Föryngringsavverkning</t>
        </is>
      </c>
      <c r="D523" s="1" t="n">
        <v>45695</v>
      </c>
      <c r="E523" s="1" t="n">
        <v>46322</v>
      </c>
      <c r="F523" t="inlineStr">
        <is>
          <t>JÖNKÖPINGS LÄN</t>
        </is>
      </c>
      <c r="G523" t="inlineStr">
        <is>
          <t>NÄSSJÖ</t>
        </is>
      </c>
      <c r="I523" t="n">
        <v>0.3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s="2" t="inlineStr"/>
    </row>
    <row r="524" ht="15" customHeight="1">
      <c r="A524" t="inlineStr">
        <is>
          <t>A 35246-2026</t>
        </is>
      </c>
      <c r="B524" t="inlineStr">
        <is>
          <t>avverkningsanmälan</t>
        </is>
      </c>
      <c r="C524" t="inlineStr">
        <is>
          <t>Föryngringsavverkning</t>
        </is>
      </c>
      <c r="D524" s="1" t="n">
        <v>46260</v>
      </c>
      <c r="E524" s="1" t="n">
        <v>46322</v>
      </c>
      <c r="F524" t="inlineStr">
        <is>
          <t>JÖNKÖPINGS LÄN</t>
        </is>
      </c>
      <c r="G524" t="inlineStr">
        <is>
          <t>NÄSSJÖ</t>
        </is>
      </c>
      <c r="I524" t="n">
        <v>1.3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s="2" t="inlineStr"/>
    </row>
    <row r="525" ht="15" customHeight="1">
      <c r="A525" t="inlineStr">
        <is>
          <t>A 54514-2024</t>
        </is>
      </c>
      <c r="B525" t="inlineStr">
        <is>
          <t>avverkningsanmälan</t>
        </is>
      </c>
      <c r="C525" t="inlineStr">
        <is>
          <t>Föryngringsavverkning</t>
        </is>
      </c>
      <c r="D525" s="1" t="n">
        <v>45617</v>
      </c>
      <c r="E525" s="1" t="n">
        <v>46322</v>
      </c>
      <c r="F525" t="inlineStr">
        <is>
          <t>JÖNKÖPINGS LÄN</t>
        </is>
      </c>
      <c r="G525" t="inlineStr">
        <is>
          <t>NÄSSJÖ</t>
        </is>
      </c>
      <c r="I525" t="n">
        <v>1.6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s="2" t="inlineStr"/>
    </row>
    <row r="526" ht="15" customHeight="1">
      <c r="A526" t="inlineStr">
        <is>
          <t>A 215-2022</t>
        </is>
      </c>
      <c r="B526" t="inlineStr">
        <is>
          <t>avverkningsanmälan</t>
        </is>
      </c>
      <c r="C526" t="inlineStr">
        <is>
          <t>Föryngringsavverkning</t>
        </is>
      </c>
      <c r="D526" s="1" t="n">
        <v>44564</v>
      </c>
      <c r="E526" s="1" t="n">
        <v>46322</v>
      </c>
      <c r="F526" t="inlineStr">
        <is>
          <t>JÖNKÖPINGS LÄN</t>
        </is>
      </c>
      <c r="G526" t="inlineStr">
        <is>
          <t>NÄSSJÖ</t>
        </is>
      </c>
      <c r="I526" t="n">
        <v>0.5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s="2" t="inlineStr"/>
    </row>
    <row r="527" ht="15" customHeight="1">
      <c r="A527" t="inlineStr">
        <is>
          <t>A 10060-2023</t>
        </is>
      </c>
      <c r="B527" t="inlineStr">
        <is>
          <t>avverkningsanmälan</t>
        </is>
      </c>
      <c r="C527" t="inlineStr">
        <is>
          <t>Föryngringsavverkning</t>
        </is>
      </c>
      <c r="D527" s="1" t="n">
        <v>44985</v>
      </c>
      <c r="E527" s="1" t="n">
        <v>46322</v>
      </c>
      <c r="F527" t="inlineStr">
        <is>
          <t>JÖNKÖPINGS LÄN</t>
        </is>
      </c>
      <c r="G527" t="inlineStr">
        <is>
          <t>NÄSSJÖ</t>
        </is>
      </c>
      <c r="I527" t="n">
        <v>4.3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s="2" t="inlineStr"/>
    </row>
    <row r="528" ht="15" customHeight="1">
      <c r="A528" t="inlineStr">
        <is>
          <t>A 11355-2024</t>
        </is>
      </c>
      <c r="B528" t="inlineStr">
        <is>
          <t>avverkningsanmälan</t>
        </is>
      </c>
      <c r="C528" t="inlineStr">
        <is>
          <t>Föryngringsavverkning</t>
        </is>
      </c>
      <c r="D528" s="1" t="n">
        <v>45372</v>
      </c>
      <c r="E528" s="1" t="n">
        <v>46322</v>
      </c>
      <c r="F528" t="inlineStr">
        <is>
          <t>JÖNKÖPINGS LÄN</t>
        </is>
      </c>
      <c r="G528" t="inlineStr">
        <is>
          <t>NÄSSJÖ</t>
        </is>
      </c>
      <c r="I528" t="n">
        <v>0.6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s="2" t="inlineStr"/>
    </row>
    <row r="529" ht="15" customHeight="1">
      <c r="A529" t="inlineStr">
        <is>
          <t>A 11361-2024</t>
        </is>
      </c>
      <c r="B529" t="inlineStr">
        <is>
          <t>avverkningsanmälan</t>
        </is>
      </c>
      <c r="C529" t="inlineStr">
        <is>
          <t>Föryngringsavverkning</t>
        </is>
      </c>
      <c r="D529" s="1" t="n">
        <v>45372</v>
      </c>
      <c r="E529" s="1" t="n">
        <v>46322</v>
      </c>
      <c r="F529" t="inlineStr">
        <is>
          <t>JÖNKÖPINGS LÄN</t>
        </is>
      </c>
      <c r="G529" t="inlineStr">
        <is>
          <t>NÄSSJÖ</t>
        </is>
      </c>
      <c r="I529" t="n">
        <v>3.6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s="2" t="inlineStr"/>
    </row>
    <row r="530" ht="15" customHeight="1">
      <c r="A530" t="inlineStr">
        <is>
          <t>A 54381-2024</t>
        </is>
      </c>
      <c r="B530" t="inlineStr">
        <is>
          <t>avverkningsanmälan</t>
        </is>
      </c>
      <c r="C530" t="inlineStr">
        <is>
          <t>Föryngringsavverkning</t>
        </is>
      </c>
      <c r="D530" s="1" t="n">
        <v>45617</v>
      </c>
      <c r="E530" s="1" t="n">
        <v>46322</v>
      </c>
      <c r="F530" t="inlineStr">
        <is>
          <t>JÖNKÖPINGS LÄN</t>
        </is>
      </c>
      <c r="G530" t="inlineStr">
        <is>
          <t>NÄSSJÖ</t>
        </is>
      </c>
      <c r="I530" t="n">
        <v>0.4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s="2" t="inlineStr"/>
    </row>
    <row r="531" ht="15" customHeight="1">
      <c r="A531" t="inlineStr">
        <is>
          <t>A 44766-2023</t>
        </is>
      </c>
      <c r="B531" t="inlineStr">
        <is>
          <t>avverkningsanmälan</t>
        </is>
      </c>
      <c r="C531" t="inlineStr">
        <is>
          <t>Föryngringsavverkning</t>
        </is>
      </c>
      <c r="D531" s="1" t="n">
        <v>45190</v>
      </c>
      <c r="E531" s="1" t="n">
        <v>46322</v>
      </c>
      <c r="F531" t="inlineStr">
        <is>
          <t>JÖNKÖPINGS LÄN</t>
        </is>
      </c>
      <c r="G531" t="inlineStr">
        <is>
          <t>NÄSSJÖ</t>
        </is>
      </c>
      <c r="I531" t="n">
        <v>2.3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s="2" t="inlineStr"/>
    </row>
    <row r="532" ht="15" customHeight="1">
      <c r="A532" t="inlineStr">
        <is>
          <t>A 9693-2022</t>
        </is>
      </c>
      <c r="B532" t="inlineStr">
        <is>
          <t>avverkningsanmälan</t>
        </is>
      </c>
      <c r="C532" t="inlineStr">
        <is>
          <t>Föryngringsavverkning</t>
        </is>
      </c>
      <c r="D532" s="1" t="n">
        <v>44617</v>
      </c>
      <c r="E532" s="1" t="n">
        <v>46322</v>
      </c>
      <c r="F532" t="inlineStr">
        <is>
          <t>JÖNKÖPINGS LÄN</t>
        </is>
      </c>
      <c r="G532" t="inlineStr">
        <is>
          <t>NÄSSJÖ</t>
        </is>
      </c>
      <c r="I532" t="n">
        <v>1.3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s="2" t="inlineStr"/>
    </row>
    <row r="533" ht="15" customHeight="1">
      <c r="A533" t="inlineStr">
        <is>
          <t>A 39444-2023</t>
        </is>
      </c>
      <c r="B533" t="inlineStr">
        <is>
          <t>avverkningsanmälan</t>
        </is>
      </c>
      <c r="C533" t="inlineStr">
        <is>
          <t>Föryngringsavverkning</t>
        </is>
      </c>
      <c r="D533" s="1" t="n">
        <v>45163</v>
      </c>
      <c r="E533" s="1" t="n">
        <v>46322</v>
      </c>
      <c r="F533" t="inlineStr">
        <is>
          <t>JÖNKÖPINGS LÄN</t>
        </is>
      </c>
      <c r="G533" t="inlineStr">
        <is>
          <t>NÄSSJÖ</t>
        </is>
      </c>
      <c r="I533" t="n">
        <v>2.4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s="2" t="inlineStr"/>
    </row>
    <row r="534" ht="15" customHeight="1">
      <c r="A534" t="inlineStr">
        <is>
          <t>A 39095-2026</t>
        </is>
      </c>
      <c r="B534" t="inlineStr">
        <is>
          <t>avverkningsanmälan</t>
        </is>
      </c>
      <c r="C534" t="inlineStr">
        <is>
          <t>Föryngringsavverkning</t>
        </is>
      </c>
      <c r="D534" s="1" t="n">
        <v>46283</v>
      </c>
      <c r="E534" s="1" t="n">
        <v>46322</v>
      </c>
      <c r="F534" t="inlineStr">
        <is>
          <t>JÖNKÖPINGS LÄN</t>
        </is>
      </c>
      <c r="G534" t="inlineStr">
        <is>
          <t>NÄSSJÖ</t>
        </is>
      </c>
      <c r="H534" t="inlineStr">
        <is>
          <t>Kyrkan</t>
        </is>
      </c>
      <c r="I534" t="n">
        <v>7.3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s="2" t="inlineStr"/>
    </row>
    <row r="535" ht="15" customHeight="1">
      <c r="A535" t="inlineStr">
        <is>
          <t>A 8989-2023</t>
        </is>
      </c>
      <c r="B535" t="inlineStr">
        <is>
          <t>avverkningsanmälan</t>
        </is>
      </c>
      <c r="C535" t="inlineStr">
        <is>
          <t>Föryngringsavverkning</t>
        </is>
      </c>
      <c r="D535" s="1" t="n">
        <v>44974</v>
      </c>
      <c r="E535" s="1" t="n">
        <v>46322</v>
      </c>
      <c r="F535" t="inlineStr">
        <is>
          <t>JÖNKÖPINGS LÄN</t>
        </is>
      </c>
      <c r="G535" t="inlineStr">
        <is>
          <t>NÄSSJÖ</t>
        </is>
      </c>
      <c r="I535" t="n">
        <v>3.6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s="2" t="inlineStr"/>
    </row>
    <row r="536" ht="15" customHeight="1">
      <c r="A536" t="inlineStr">
        <is>
          <t>A 29990-2023</t>
        </is>
      </c>
      <c r="B536" t="inlineStr">
        <is>
          <t>avverkningsanmälan</t>
        </is>
      </c>
      <c r="C536" t="inlineStr">
        <is>
          <t>Föryngringsavverkning</t>
        </is>
      </c>
      <c r="D536" s="1" t="n">
        <v>45109</v>
      </c>
      <c r="E536" s="1" t="n">
        <v>46322</v>
      </c>
      <c r="F536" t="inlineStr">
        <is>
          <t>JÖNKÖPINGS LÄN</t>
        </is>
      </c>
      <c r="G536" t="inlineStr">
        <is>
          <t>NÄSSJÖ</t>
        </is>
      </c>
      <c r="I536" t="n">
        <v>1.3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s="2" t="inlineStr"/>
    </row>
    <row r="537" ht="15" customHeight="1">
      <c r="A537" t="inlineStr">
        <is>
          <t>A 14832-2023</t>
        </is>
      </c>
      <c r="B537" t="inlineStr">
        <is>
          <t>avverkningsanmälan</t>
        </is>
      </c>
      <c r="C537" t="inlineStr">
        <is>
          <t>Föryngringsavverkning</t>
        </is>
      </c>
      <c r="D537" s="1" t="n">
        <v>45014</v>
      </c>
      <c r="E537" s="1" t="n">
        <v>46322</v>
      </c>
      <c r="F537" t="inlineStr">
        <is>
          <t>JÖNKÖPINGS LÄN</t>
        </is>
      </c>
      <c r="G537" t="inlineStr">
        <is>
          <t>NÄSSJÖ</t>
        </is>
      </c>
      <c r="I537" t="n">
        <v>1.7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s="2" t="inlineStr"/>
    </row>
    <row r="538" ht="15" customHeight="1">
      <c r="A538" t="inlineStr">
        <is>
          <t>A 10682-2023</t>
        </is>
      </c>
      <c r="B538" t="inlineStr">
        <is>
          <t>avverkningsanmälan</t>
        </is>
      </c>
      <c r="C538" t="inlineStr">
        <is>
          <t>Föryngringsavverkning</t>
        </is>
      </c>
      <c r="D538" s="1" t="n">
        <v>44988</v>
      </c>
      <c r="E538" s="1" t="n">
        <v>46322</v>
      </c>
      <c r="F538" t="inlineStr">
        <is>
          <t>JÖNKÖPINGS LÄN</t>
        </is>
      </c>
      <c r="G538" t="inlineStr">
        <is>
          <t>NÄSSJÖ</t>
        </is>
      </c>
      <c r="I538" t="n">
        <v>1.4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s="2" t="inlineStr"/>
    </row>
    <row r="539" ht="15" customHeight="1">
      <c r="A539" t="inlineStr">
        <is>
          <t>A 42225-2026</t>
        </is>
      </c>
      <c r="B539" t="inlineStr">
        <is>
          <t>avverkningsanmälan</t>
        </is>
      </c>
      <c r="C539" t="inlineStr">
        <is>
          <t>Föryngringsavverkning</t>
        </is>
      </c>
      <c r="D539" s="1" t="n">
        <v>46307</v>
      </c>
      <c r="E539" s="1" t="n">
        <v>46322</v>
      </c>
      <c r="F539" t="inlineStr">
        <is>
          <t>JÖNKÖPINGS LÄN</t>
        </is>
      </c>
      <c r="G539" t="inlineStr">
        <is>
          <t>NÄSSJÖ</t>
        </is>
      </c>
      <c r="I539" t="n">
        <v>1.1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s="2" t="inlineStr"/>
    </row>
    <row r="540" ht="15" customHeight="1">
      <c r="A540" t="inlineStr">
        <is>
          <t>A 56869-2022</t>
        </is>
      </c>
      <c r="B540" t="inlineStr">
        <is>
          <t>avverkningsanmälan</t>
        </is>
      </c>
      <c r="C540" t="inlineStr">
        <is>
          <t>Föryngringsavverkning</t>
        </is>
      </c>
      <c r="D540" s="1" t="n">
        <v>44894</v>
      </c>
      <c r="E540" s="1" t="n">
        <v>46322</v>
      </c>
      <c r="F540" t="inlineStr">
        <is>
          <t>JÖNKÖPINGS LÄN</t>
        </is>
      </c>
      <c r="G540" t="inlineStr">
        <is>
          <t>NÄSSJÖ</t>
        </is>
      </c>
      <c r="I540" t="n">
        <v>1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s="2" t="inlineStr"/>
    </row>
    <row r="541" ht="15" customHeight="1">
      <c r="A541" t="inlineStr">
        <is>
          <t>A 5973-2025</t>
        </is>
      </c>
      <c r="B541" t="inlineStr">
        <is>
          <t>avverkningsanmälan</t>
        </is>
      </c>
      <c r="C541" t="inlineStr">
        <is>
          <t>Föryngringsavverkning</t>
        </is>
      </c>
      <c r="D541" s="1" t="n">
        <v>45695</v>
      </c>
      <c r="E541" s="1" t="n">
        <v>46322</v>
      </c>
      <c r="F541" t="inlineStr">
        <is>
          <t>JÖNKÖPINGS LÄN</t>
        </is>
      </c>
      <c r="G541" t="inlineStr">
        <is>
          <t>NÄSSJÖ</t>
        </is>
      </c>
      <c r="I541" t="n">
        <v>3.6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s="2" t="inlineStr"/>
    </row>
    <row r="542" ht="15" customHeight="1">
      <c r="A542" t="inlineStr">
        <is>
          <t>A 16657-2024</t>
        </is>
      </c>
      <c r="B542" t="inlineStr">
        <is>
          <t>avverkningsanmälan</t>
        </is>
      </c>
      <c r="C542" t="inlineStr">
        <is>
          <t>Föryngringsavverkning</t>
        </is>
      </c>
      <c r="D542" s="1" t="n">
        <v>45408</v>
      </c>
      <c r="E542" s="1" t="n">
        <v>46322</v>
      </c>
      <c r="F542" t="inlineStr">
        <is>
          <t>JÖNKÖPINGS LÄN</t>
        </is>
      </c>
      <c r="G542" t="inlineStr">
        <is>
          <t>NÄSSJÖ</t>
        </is>
      </c>
      <c r="I542" t="n">
        <v>1.8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s="2" t="inlineStr"/>
    </row>
    <row r="543" ht="15" customHeight="1">
      <c r="A543" t="inlineStr">
        <is>
          <t>A 39185-2023</t>
        </is>
      </c>
      <c r="B543" t="inlineStr">
        <is>
          <t>avverkningsanmälan</t>
        </is>
      </c>
      <c r="C543" t="inlineStr">
        <is>
          <t>Föryngringsavverkning</t>
        </is>
      </c>
      <c r="D543" s="1" t="n">
        <v>45162</v>
      </c>
      <c r="E543" s="1" t="n">
        <v>46322</v>
      </c>
      <c r="F543" t="inlineStr">
        <is>
          <t>JÖNKÖPINGS LÄN</t>
        </is>
      </c>
      <c r="G543" t="inlineStr">
        <is>
          <t>NÄSSJÖ</t>
        </is>
      </c>
      <c r="I543" t="n">
        <v>1.3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s="2" t="inlineStr"/>
    </row>
    <row r="544" ht="15" customHeight="1">
      <c r="A544" t="inlineStr">
        <is>
          <t>A 41325-2022</t>
        </is>
      </c>
      <c r="B544" t="inlineStr">
        <is>
          <t>avverkningsanmälan</t>
        </is>
      </c>
      <c r="C544" t="inlineStr">
        <is>
          <t>Föryngringsavverkning</t>
        </is>
      </c>
      <c r="D544" s="1" t="n">
        <v>44826</v>
      </c>
      <c r="E544" s="1" t="n">
        <v>46322</v>
      </c>
      <c r="F544" t="inlineStr">
        <is>
          <t>JÖNKÖPINGS LÄN</t>
        </is>
      </c>
      <c r="G544" t="inlineStr">
        <is>
          <t>NÄSSJÖ</t>
        </is>
      </c>
      <c r="I544" t="n">
        <v>1.5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s="2" t="inlineStr"/>
    </row>
    <row r="545" ht="15" customHeight="1">
      <c r="A545" t="inlineStr">
        <is>
          <t>A 7736-2022</t>
        </is>
      </c>
      <c r="B545" t="inlineStr">
        <is>
          <t>avverkningsanmälan</t>
        </is>
      </c>
      <c r="C545" t="inlineStr">
        <is>
          <t>Föryngringsavverkning</t>
        </is>
      </c>
      <c r="D545" s="1" t="n">
        <v>44608</v>
      </c>
      <c r="E545" s="1" t="n">
        <v>46322</v>
      </c>
      <c r="F545" t="inlineStr">
        <is>
          <t>JÖNKÖPINGS LÄN</t>
        </is>
      </c>
      <c r="G545" t="inlineStr">
        <is>
          <t>NÄSSJÖ</t>
        </is>
      </c>
      <c r="I545" t="n">
        <v>4.1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s="2" t="inlineStr"/>
    </row>
    <row r="546" ht="15" customHeight="1">
      <c r="A546" t="inlineStr">
        <is>
          <t>A 8339-2023</t>
        </is>
      </c>
      <c r="B546" t="inlineStr">
        <is>
          <t>avverkningsanmälan</t>
        </is>
      </c>
      <c r="C546" t="inlineStr">
        <is>
          <t>Föryngringsavverkning</t>
        </is>
      </c>
      <c r="D546" s="1" t="n">
        <v>44976</v>
      </c>
      <c r="E546" s="1" t="n">
        <v>46322</v>
      </c>
      <c r="F546" t="inlineStr">
        <is>
          <t>JÖNKÖPINGS LÄN</t>
        </is>
      </c>
      <c r="G546" t="inlineStr">
        <is>
          <t>NÄSSJÖ</t>
        </is>
      </c>
      <c r="I546" t="n">
        <v>6.9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s="2" t="inlineStr"/>
    </row>
    <row r="547" ht="15" customHeight="1">
      <c r="A547" t="inlineStr">
        <is>
          <t>A 49878-2023</t>
        </is>
      </c>
      <c r="B547" t="inlineStr">
        <is>
          <t>avverkningsanmälan</t>
        </is>
      </c>
      <c r="C547" t="inlineStr">
        <is>
          <t>Föryngringsavverkning</t>
        </is>
      </c>
      <c r="D547" s="1" t="n">
        <v>45213</v>
      </c>
      <c r="E547" s="1" t="n">
        <v>46322</v>
      </c>
      <c r="F547" t="inlineStr">
        <is>
          <t>JÖNKÖPINGS LÄN</t>
        </is>
      </c>
      <c r="G547" t="inlineStr">
        <is>
          <t>NÄSSJÖ</t>
        </is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s="2" t="inlineStr"/>
    </row>
    <row r="548" ht="15" customHeight="1">
      <c r="A548" t="inlineStr">
        <is>
          <t>A 7052-2024</t>
        </is>
      </c>
      <c r="B548" t="inlineStr">
        <is>
          <t>avverkningsanmälan</t>
        </is>
      </c>
      <c r="C548" t="inlineStr">
        <is>
          <t>Föryngringsavverkning</t>
        </is>
      </c>
      <c r="D548" s="1" t="n">
        <v>45343</v>
      </c>
      <c r="E548" s="1" t="n">
        <v>46322</v>
      </c>
      <c r="F548" t="inlineStr">
        <is>
          <t>JÖNKÖPINGS LÄN</t>
        </is>
      </c>
      <c r="G548" t="inlineStr">
        <is>
          <t>NÄSSJÖ</t>
        </is>
      </c>
      <c r="I548" t="n">
        <v>2.7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s="2" t="inlineStr"/>
    </row>
    <row r="549" ht="15" customHeight="1">
      <c r="A549" t="inlineStr">
        <is>
          <t>A 42606-2026</t>
        </is>
      </c>
      <c r="B549" t="inlineStr">
        <is>
          <t>avverkningsanmälan</t>
        </is>
      </c>
      <c r="C549" t="inlineStr">
        <is>
          <t>Föryngringsavverkning</t>
        </is>
      </c>
      <c r="D549" s="1" t="n">
        <v>46309</v>
      </c>
      <c r="E549" s="1" t="n">
        <v>46322</v>
      </c>
      <c r="F549" t="inlineStr">
        <is>
          <t>JÖNKÖPINGS LÄN</t>
        </is>
      </c>
      <c r="G549" t="inlineStr">
        <is>
          <t>NÄSSJÖ</t>
        </is>
      </c>
      <c r="I549" t="n">
        <v>3.1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s="2" t="inlineStr"/>
    </row>
    <row r="550" ht="15" customHeight="1">
      <c r="A550" t="inlineStr">
        <is>
          <t>A 53960-2022</t>
        </is>
      </c>
      <c r="B550" t="inlineStr">
        <is>
          <t>avverkningsanmälan</t>
        </is>
      </c>
      <c r="C550" t="inlineStr">
        <is>
          <t>Föryngringsavverkning</t>
        </is>
      </c>
      <c r="D550" s="1" t="n">
        <v>44881</v>
      </c>
      <c r="E550" s="1" t="n">
        <v>46322</v>
      </c>
      <c r="F550" t="inlineStr">
        <is>
          <t>JÖNKÖPINGS LÄN</t>
        </is>
      </c>
      <c r="G550" t="inlineStr">
        <is>
          <t>NÄSSJÖ</t>
        </is>
      </c>
      <c r="I550" t="n">
        <v>2.8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s="2" t="inlineStr"/>
    </row>
    <row r="551" ht="15" customHeight="1">
      <c r="A551" t="inlineStr">
        <is>
          <t>A 12103-2024</t>
        </is>
      </c>
      <c r="B551" t="inlineStr">
        <is>
          <t>avverkningsanmälan</t>
        </is>
      </c>
      <c r="C551" t="inlineStr">
        <is>
          <t>Föryngringsavverkning</t>
        </is>
      </c>
      <c r="D551" s="1" t="n">
        <v>45377</v>
      </c>
      <c r="E551" s="1" t="n">
        <v>46322</v>
      </c>
      <c r="F551" t="inlineStr">
        <is>
          <t>JÖNKÖPINGS LÄN</t>
        </is>
      </c>
      <c r="G551" t="inlineStr">
        <is>
          <t>NÄSSJÖ</t>
        </is>
      </c>
      <c r="I551" t="n">
        <v>1.5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s="2" t="inlineStr"/>
    </row>
    <row r="552" ht="15" customHeight="1">
      <c r="A552" t="inlineStr">
        <is>
          <t>A 15325-2022</t>
        </is>
      </c>
      <c r="B552" t="inlineStr">
        <is>
          <t>avverkningsanmälan</t>
        </is>
      </c>
      <c r="C552" t="inlineStr">
        <is>
          <t>Avverkning för annat ändamål</t>
        </is>
      </c>
      <c r="D552" s="1" t="n">
        <v>44659</v>
      </c>
      <c r="E552" s="1" t="n">
        <v>46322</v>
      </c>
      <c r="F552" t="inlineStr">
        <is>
          <t>JÖNKÖPINGS LÄN</t>
        </is>
      </c>
      <c r="G552" t="inlineStr">
        <is>
          <t>NÄSSJÖ</t>
        </is>
      </c>
      <c r="I552" t="n">
        <v>1.2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s="2" t="inlineStr"/>
    </row>
    <row r="553" ht="15" customHeight="1">
      <c r="A553" t="inlineStr">
        <is>
          <t>A 61451-2023</t>
        </is>
      </c>
      <c r="B553" t="inlineStr">
        <is>
          <t>avverkningsanmälan</t>
        </is>
      </c>
      <c r="C553" t="inlineStr">
        <is>
          <t>Föryngringsavverkning</t>
        </is>
      </c>
      <c r="D553" s="1" t="n">
        <v>45264</v>
      </c>
      <c r="E553" s="1" t="n">
        <v>46322</v>
      </c>
      <c r="F553" t="inlineStr">
        <is>
          <t>JÖNKÖPINGS LÄN</t>
        </is>
      </c>
      <c r="G553" t="inlineStr">
        <is>
          <t>NÄSSJÖ</t>
        </is>
      </c>
      <c r="I553" t="n">
        <v>0.7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s="2" t="inlineStr"/>
    </row>
    <row r="554" ht="15" customHeight="1">
      <c r="A554" t="inlineStr">
        <is>
          <t>A 6726-2025</t>
        </is>
      </c>
      <c r="B554" t="inlineStr">
        <is>
          <t>avverkningsanmälan</t>
        </is>
      </c>
      <c r="C554" t="inlineStr">
        <is>
          <t>Föryngringsavverkning</t>
        </is>
      </c>
      <c r="D554" s="1" t="n">
        <v>45700</v>
      </c>
      <c r="E554" s="1" t="n">
        <v>46322</v>
      </c>
      <c r="F554" t="inlineStr">
        <is>
          <t>JÖNKÖPINGS LÄN</t>
        </is>
      </c>
      <c r="G554" t="inlineStr">
        <is>
          <t>NÄSSJÖ</t>
        </is>
      </c>
      <c r="I554" t="n">
        <v>5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s="2" t="inlineStr"/>
    </row>
    <row r="555" ht="15" customHeight="1">
      <c r="A555" t="inlineStr">
        <is>
          <t>A 61545-2022</t>
        </is>
      </c>
      <c r="B555" t="inlineStr">
        <is>
          <t>avverkningsanmälan</t>
        </is>
      </c>
      <c r="C555" t="inlineStr">
        <is>
          <t>Föryngringsavverkning</t>
        </is>
      </c>
      <c r="D555" s="1" t="n">
        <v>44916</v>
      </c>
      <c r="E555" s="1" t="n">
        <v>46322</v>
      </c>
      <c r="F555" t="inlineStr">
        <is>
          <t>JÖNKÖPINGS LÄN</t>
        </is>
      </c>
      <c r="G555" t="inlineStr">
        <is>
          <t>NÄSSJÖ</t>
        </is>
      </c>
      <c r="I555" t="n">
        <v>3.5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s="2" t="inlineStr"/>
    </row>
    <row r="556" ht="15" customHeight="1">
      <c r="A556" t="inlineStr">
        <is>
          <t>A 39740-2026</t>
        </is>
      </c>
      <c r="B556" t="inlineStr">
        <is>
          <t>avverkningsanmälan</t>
        </is>
      </c>
      <c r="C556" t="inlineStr">
        <is>
          <t>Föryngringsavverkning</t>
        </is>
      </c>
      <c r="D556" s="1" t="n">
        <v>46289</v>
      </c>
      <c r="E556" s="1" t="n">
        <v>46322</v>
      </c>
      <c r="F556" t="inlineStr">
        <is>
          <t>JÖNKÖPINGS LÄN</t>
        </is>
      </c>
      <c r="G556" t="inlineStr">
        <is>
          <t>NÄSSJÖ</t>
        </is>
      </c>
      <c r="H556" t="inlineStr">
        <is>
          <t>Kyrkan</t>
        </is>
      </c>
      <c r="I556" t="n">
        <v>2.4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s="2" t="inlineStr"/>
    </row>
    <row r="557" ht="15" customHeight="1">
      <c r="A557" t="inlineStr">
        <is>
          <t>A 9796-2023</t>
        </is>
      </c>
      <c r="B557" t="inlineStr">
        <is>
          <t>avverkningsanmälan</t>
        </is>
      </c>
      <c r="C557" t="inlineStr">
        <is>
          <t>Föryngringsavverkning</t>
        </is>
      </c>
      <c r="D557" s="1" t="n">
        <v>44984</v>
      </c>
      <c r="E557" s="1" t="n">
        <v>46322</v>
      </c>
      <c r="F557" t="inlineStr">
        <is>
          <t>JÖNKÖPINGS LÄN</t>
        </is>
      </c>
      <c r="G557" t="inlineStr">
        <is>
          <t>NÄSSJÖ</t>
        </is>
      </c>
      <c r="I557" t="n">
        <v>2.6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s="2" t="inlineStr"/>
    </row>
    <row r="558" ht="15" customHeight="1">
      <c r="A558" t="inlineStr">
        <is>
          <t>A 43201-2026</t>
        </is>
      </c>
      <c r="B558" t="inlineStr">
        <is>
          <t>avverkningsanmälan</t>
        </is>
      </c>
      <c r="C558" t="inlineStr">
        <is>
          <t>Föryngringsavverkning</t>
        </is>
      </c>
      <c r="D558" s="1" t="n">
        <v>46314</v>
      </c>
      <c r="E558" s="1" t="n">
        <v>46322</v>
      </c>
      <c r="F558" t="inlineStr">
        <is>
          <t>JÖNKÖPINGS LÄN</t>
        </is>
      </c>
      <c r="G558" t="inlineStr">
        <is>
          <t>NÄSSJÖ</t>
        </is>
      </c>
      <c r="I558" t="n">
        <v>2.1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s="2" t="inlineStr"/>
    </row>
    <row r="559" ht="15" customHeight="1">
      <c r="A559" t="inlineStr">
        <is>
          <t>A 14016-2026</t>
        </is>
      </c>
      <c r="B559" t="inlineStr">
        <is>
          <t>avverkningsanmälan</t>
        </is>
      </c>
      <c r="C559" t="inlineStr">
        <is>
          <t>Föryngringsavverkning</t>
        </is>
      </c>
      <c r="D559" s="1" t="n">
        <v>46098</v>
      </c>
      <c r="E559" s="1" t="n">
        <v>46322</v>
      </c>
      <c r="F559" t="inlineStr">
        <is>
          <t>JÖNKÖPINGS LÄN</t>
        </is>
      </c>
      <c r="G559" t="inlineStr">
        <is>
          <t>NÄSSJÖ</t>
        </is>
      </c>
      <c r="I559" t="n">
        <v>3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s="2" t="inlineStr"/>
    </row>
    <row r="560" ht="15" customHeight="1">
      <c r="A560" t="inlineStr">
        <is>
          <t>A 44038-2026</t>
        </is>
      </c>
      <c r="B560" t="inlineStr">
        <is>
          <t>avverkningsanmälan</t>
        </is>
      </c>
      <c r="C560" t="inlineStr">
        <is>
          <t>Föryngringsavverkning</t>
        </is>
      </c>
      <c r="D560" s="1" t="n">
        <v>46317</v>
      </c>
      <c r="E560" s="1" t="n">
        <v>46322</v>
      </c>
      <c r="F560" t="inlineStr">
        <is>
          <t>JÖNKÖPINGS LÄN</t>
        </is>
      </c>
      <c r="G560" t="inlineStr">
        <is>
          <t>NÄSSJÖ</t>
        </is>
      </c>
      <c r="I560" t="n">
        <v>1.2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s="2" t="inlineStr"/>
    </row>
    <row r="561" ht="15" customHeight="1">
      <c r="A561" t="inlineStr">
        <is>
          <t>A 39211-2026</t>
        </is>
      </c>
      <c r="B561" t="inlineStr">
        <is>
          <t>avverkningsanmälan</t>
        </is>
      </c>
      <c r="C561" t="inlineStr">
        <is>
          <t>Avverkning för att bevara och utveckla /försöksver</t>
        </is>
      </c>
      <c r="D561" s="1" t="n">
        <v>46287</v>
      </c>
      <c r="E561" s="1" t="n">
        <v>46322</v>
      </c>
      <c r="F561" t="inlineStr">
        <is>
          <t>JÖNKÖPINGS LÄN</t>
        </is>
      </c>
      <c r="G561" t="inlineStr">
        <is>
          <t>NÄSSJÖ</t>
        </is>
      </c>
      <c r="I561" t="n">
        <v>1.7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s="2" t="inlineStr"/>
    </row>
    <row r="562" ht="15" customHeight="1">
      <c r="A562" t="inlineStr">
        <is>
          <t>A 43636-2026</t>
        </is>
      </c>
      <c r="B562" t="inlineStr">
        <is>
          <t>avverkningsanmälan</t>
        </is>
      </c>
      <c r="C562" t="inlineStr">
        <is>
          <t>Föryngringsavverkning</t>
        </is>
      </c>
      <c r="D562" s="1" t="n">
        <v>46315</v>
      </c>
      <c r="E562" s="1" t="n">
        <v>46322</v>
      </c>
      <c r="F562" t="inlineStr">
        <is>
          <t>JÖNKÖPINGS LÄN</t>
        </is>
      </c>
      <c r="G562" t="inlineStr">
        <is>
          <t>NÄSSJÖ</t>
        </is>
      </c>
      <c r="I562" t="n">
        <v>2.9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s="2" t="inlineStr"/>
    </row>
    <row r="563" ht="15" customHeight="1">
      <c r="A563" t="inlineStr">
        <is>
          <t>S 2371-2023</t>
        </is>
      </c>
      <c r="B563" t="inlineStr">
        <is>
          <t>samrådsanmälan</t>
        </is>
      </c>
      <c r="C563" t="inlineStr">
        <is>
          <t>Askåterföring</t>
        </is>
      </c>
      <c r="D563" s="1" t="n">
        <v>45109</v>
      </c>
      <c r="E563" s="1" t="n">
        <v>46322</v>
      </c>
      <c r="F563" t="inlineStr">
        <is>
          <t>JÖNKÖPINGS LÄN</t>
        </is>
      </c>
      <c r="G563" t="inlineStr">
        <is>
          <t>NÄSSJÖ</t>
        </is>
      </c>
      <c r="I563" t="n">
        <v>18.3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s="2" t="inlineStr"/>
    </row>
    <row r="564" ht="15" customHeight="1">
      <c r="A564" t="inlineStr">
        <is>
          <t>S 2369-2023</t>
        </is>
      </c>
      <c r="B564" t="inlineStr">
        <is>
          <t>samrådsanmälan</t>
        </is>
      </c>
      <c r="C564" t="inlineStr">
        <is>
          <t>Askåterföring</t>
        </is>
      </c>
      <c r="D564" s="1" t="n">
        <v>45108</v>
      </c>
      <c r="E564" s="1" t="n">
        <v>46322</v>
      </c>
      <c r="F564" t="inlineStr">
        <is>
          <t>JÖNKÖPINGS LÄN</t>
        </is>
      </c>
      <c r="G564" t="inlineStr">
        <is>
          <t>NÄSSJÖ</t>
        </is>
      </c>
      <c r="I564" t="n">
        <v>37.6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s="2" t="inlineStr"/>
    </row>
    <row r="565" ht="15" customHeight="1">
      <c r="A565" t="inlineStr">
        <is>
          <t>S 1405-2023</t>
        </is>
      </c>
      <c r="B565" t="inlineStr">
        <is>
          <t>samrådsanmälan</t>
        </is>
      </c>
      <c r="C565" t="inlineStr">
        <is>
          <t>Askåterföring</t>
        </is>
      </c>
      <c r="D565" s="1" t="n">
        <v>45042</v>
      </c>
      <c r="E565" s="1" t="n">
        <v>46322</v>
      </c>
      <c r="F565" t="inlineStr">
        <is>
          <t>JÖNKÖPINGS LÄN</t>
        </is>
      </c>
      <c r="G565" t="inlineStr">
        <is>
          <t>NÄSSJÖ</t>
        </is>
      </c>
      <c r="I565" t="n">
        <v>26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s="2" t="inlineStr"/>
    </row>
    <row r="566" ht="15" customHeight="1">
      <c r="A566" t="inlineStr">
        <is>
          <t>S 2094-2024</t>
        </is>
      </c>
      <c r="B566" t="inlineStr">
        <is>
          <t>samrådsanmälan</t>
        </is>
      </c>
      <c r="C566" t="inlineStr">
        <is>
          <t>Askåterföring</t>
        </is>
      </c>
      <c r="D566" s="1" t="n">
        <v>45453</v>
      </c>
      <c r="E566" s="1" t="n">
        <v>46322</v>
      </c>
      <c r="F566" t="inlineStr">
        <is>
          <t>JÖNKÖPINGS LÄN</t>
        </is>
      </c>
      <c r="G566" t="inlineStr">
        <is>
          <t>NÄSSJÖ</t>
        </is>
      </c>
      <c r="I566" t="n">
        <v>37.7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s="2" t="inlineStr"/>
    </row>
    <row r="567" ht="15" customHeight="1">
      <c r="A567" t="inlineStr">
        <is>
          <t>S 1381-2024</t>
        </is>
      </c>
      <c r="B567" t="inlineStr">
        <is>
          <t>samrådsanmälan</t>
        </is>
      </c>
      <c r="C567" t="inlineStr">
        <is>
          <t>Askåterföring</t>
        </is>
      </c>
      <c r="D567" s="1" t="n">
        <v>45411</v>
      </c>
      <c r="E567" s="1" t="n">
        <v>46322</v>
      </c>
      <c r="F567" t="inlineStr">
        <is>
          <t>JÖNKÖPINGS LÄN</t>
        </is>
      </c>
      <c r="G567" t="inlineStr">
        <is>
          <t>NÄSSJÖ</t>
        </is>
      </c>
      <c r="I567" t="n">
        <v>26.6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s="2" t="inlineStr"/>
    </row>
    <row r="568" ht="15" customHeight="1">
      <c r="A568" t="inlineStr">
        <is>
          <t>S 1263-2023</t>
        </is>
      </c>
      <c r="B568" t="inlineStr">
        <is>
          <t>samrådsanmälan</t>
        </is>
      </c>
      <c r="C568" t="inlineStr">
        <is>
          <t>Askåterföring</t>
        </is>
      </c>
      <c r="D568" s="1" t="n">
        <v>45029</v>
      </c>
      <c r="E568" s="1" t="n">
        <v>46322</v>
      </c>
      <c r="F568" t="inlineStr">
        <is>
          <t>JÖNKÖPINGS LÄN</t>
        </is>
      </c>
      <c r="G568" t="inlineStr">
        <is>
          <t>NÄSSJÖ</t>
        </is>
      </c>
      <c r="I568" t="n">
        <v>6.8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s="2" t="inlineStr"/>
    </row>
    <row r="569" ht="15" customHeight="1">
      <c r="A569" t="inlineStr">
        <is>
          <t>S 2470-2023</t>
        </is>
      </c>
      <c r="B569" t="inlineStr">
        <is>
          <t>samrådsanmälan</t>
        </is>
      </c>
      <c r="C569" t="inlineStr">
        <is>
          <t>Askåterföring</t>
        </is>
      </c>
      <c r="D569" s="1" t="n">
        <v>45118</v>
      </c>
      <c r="E569" s="1" t="n">
        <v>46322</v>
      </c>
      <c r="F569" t="inlineStr">
        <is>
          <t>JÖNKÖPINGS LÄN</t>
        </is>
      </c>
      <c r="G569" t="inlineStr">
        <is>
          <t>NÄSSJÖ</t>
        </is>
      </c>
      <c r="I569" t="n">
        <v>20.8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s="2" t="inlineStr"/>
    </row>
    <row r="570" ht="15" customHeight="1">
      <c r="A570" t="inlineStr">
        <is>
          <t>S 1950-2023</t>
        </is>
      </c>
      <c r="B570" t="inlineStr">
        <is>
          <t>samrådsanmälan</t>
        </is>
      </c>
      <c r="C570" t="inlineStr">
        <is>
          <t>Askåterföring</t>
        </is>
      </c>
      <c r="D570" s="1" t="n">
        <v>45082</v>
      </c>
      <c r="E570" s="1" t="n">
        <v>46322</v>
      </c>
      <c r="F570" t="inlineStr">
        <is>
          <t>JÖNKÖPINGS LÄN</t>
        </is>
      </c>
      <c r="G570" t="inlineStr">
        <is>
          <t>NÄSSJÖ</t>
        </is>
      </c>
      <c r="I570" t="n">
        <v>12.6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s="2" t="inlineStr"/>
    </row>
    <row r="571" ht="15" customHeight="1">
      <c r="A571" t="inlineStr">
        <is>
          <t>S 2411-2023</t>
        </is>
      </c>
      <c r="B571" t="inlineStr">
        <is>
          <t>samrådsanmälan</t>
        </is>
      </c>
      <c r="C571" t="inlineStr">
        <is>
          <t>Askåterföring</t>
        </is>
      </c>
      <c r="D571" s="1" t="n">
        <v>45112</v>
      </c>
      <c r="E571" s="1" t="n">
        <v>46322</v>
      </c>
      <c r="F571" t="inlineStr">
        <is>
          <t>JÖNKÖPINGS LÄN</t>
        </is>
      </c>
      <c r="G571" t="inlineStr">
        <is>
          <t>NÄSSJÖ</t>
        </is>
      </c>
      <c r="I571" t="n">
        <v>22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s="2" t="inlineStr"/>
    </row>
    <row r="572" ht="15" customHeight="1">
      <c r="A572" t="inlineStr">
        <is>
          <t>S 654-2023</t>
        </is>
      </c>
      <c r="B572" t="inlineStr">
        <is>
          <t>samrådsanmälan</t>
        </is>
      </c>
      <c r="C572" t="inlineStr">
        <is>
          <t>Annan skogsbruksåtgärd</t>
        </is>
      </c>
      <c r="D572" s="1" t="n">
        <v>44977</v>
      </c>
      <c r="E572" s="1" t="n">
        <v>46322</v>
      </c>
      <c r="F572" t="inlineStr">
        <is>
          <t>JÖNKÖPINGS LÄN</t>
        </is>
      </c>
      <c r="G572" t="inlineStr">
        <is>
          <t>NÄSSJÖ</t>
        </is>
      </c>
      <c r="I572" t="n">
        <v>1.5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s="2" t="inlineStr"/>
    </row>
    <row r="573" ht="15" customHeight="1">
      <c r="A573" t="inlineStr">
        <is>
          <t>S 2269-2023</t>
        </is>
      </c>
      <c r="B573" t="inlineStr">
        <is>
          <t>samrådsanmälan</t>
        </is>
      </c>
      <c r="C573" t="inlineStr">
        <is>
          <t>Askåterföring</t>
        </is>
      </c>
      <c r="D573" s="1" t="n">
        <v>45103</v>
      </c>
      <c r="E573" s="1" t="n">
        <v>46322</v>
      </c>
      <c r="F573" t="inlineStr">
        <is>
          <t>JÖNKÖPINGS LÄN</t>
        </is>
      </c>
      <c r="G573" t="inlineStr">
        <is>
          <t>NÄSSJÖ</t>
        </is>
      </c>
      <c r="I573" t="n">
        <v>23.3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s="2" t="inlineStr"/>
    </row>
    <row r="574" ht="15" customHeight="1">
      <c r="A574" t="inlineStr">
        <is>
          <t>S 2247-2023</t>
        </is>
      </c>
      <c r="B574" t="inlineStr">
        <is>
          <t>samrådsanmälan</t>
        </is>
      </c>
      <c r="C574" t="inlineStr">
        <is>
          <t>Askåterföring</t>
        </is>
      </c>
      <c r="D574" s="1" t="n">
        <v>45100</v>
      </c>
      <c r="E574" s="1" t="n">
        <v>46322</v>
      </c>
      <c r="F574" t="inlineStr">
        <is>
          <t>JÖNKÖPINGS LÄN</t>
        </is>
      </c>
      <c r="G574" t="inlineStr">
        <is>
          <t>NÄSSJÖ</t>
        </is>
      </c>
      <c r="I574" t="n">
        <v>57.1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s="2" t="inlineStr"/>
    </row>
    <row r="575" ht="15" customHeight="1">
      <c r="A575" t="inlineStr">
        <is>
          <t>S 1262-2023</t>
        </is>
      </c>
      <c r="B575" t="inlineStr">
        <is>
          <t>samrådsanmälan</t>
        </is>
      </c>
      <c r="C575" t="inlineStr">
        <is>
          <t>Askåterföring</t>
        </is>
      </c>
      <c r="D575" s="1" t="n">
        <v>45029</v>
      </c>
      <c r="E575" s="1" t="n">
        <v>46322</v>
      </c>
      <c r="F575" t="inlineStr">
        <is>
          <t>JÖNKÖPINGS LÄN</t>
        </is>
      </c>
      <c r="G575" t="inlineStr">
        <is>
          <t>NÄSSJÖ</t>
        </is>
      </c>
      <c r="I575" t="n">
        <v>14.4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s="2" t="inlineStr"/>
    </row>
    <row r="576" ht="15" customHeight="1">
      <c r="A576" t="inlineStr">
        <is>
          <t>S 1040-2022</t>
        </is>
      </c>
      <c r="B576" t="inlineStr">
        <is>
          <t>samrådsanmälan</t>
        </is>
      </c>
      <c r="C576" t="inlineStr">
        <is>
          <t>Skogsbilväg</t>
        </is>
      </c>
      <c r="D576" s="1" t="n">
        <v>44613</v>
      </c>
      <c r="E576" s="1" t="n">
        <v>46322</v>
      </c>
      <c r="F576" t="inlineStr">
        <is>
          <t>JÖNKÖPINGS LÄN</t>
        </is>
      </c>
      <c r="G576" t="inlineStr">
        <is>
          <t>NÄSSJÖ</t>
        </is>
      </c>
      <c r="I576" t="n">
        <v>1.5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s="2" t="inlineStr"/>
    </row>
    <row r="577" ht="15" customHeight="1">
      <c r="A577" t="inlineStr">
        <is>
          <t>S 1467-2024</t>
        </is>
      </c>
      <c r="B577" t="inlineStr">
        <is>
          <t>samrådsanmälan</t>
        </is>
      </c>
      <c r="C577" t="inlineStr">
        <is>
          <t>Askåterföring</t>
        </is>
      </c>
      <c r="D577" s="1" t="n">
        <v>45419</v>
      </c>
      <c r="E577" s="1" t="n">
        <v>46322</v>
      </c>
      <c r="F577" t="inlineStr">
        <is>
          <t>JÖNKÖPINGS LÄN</t>
        </is>
      </c>
      <c r="G577" t="inlineStr">
        <is>
          <t>NÄSSJÖ</t>
        </is>
      </c>
      <c r="I577" t="n">
        <v>21.6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s="2" t="inlineStr"/>
    </row>
    <row r="578" ht="15" customHeight="1">
      <c r="A578" t="inlineStr">
        <is>
          <t>S 236-2022</t>
        </is>
      </c>
      <c r="B578" t="inlineStr">
        <is>
          <t>samrådsanmälan</t>
        </is>
      </c>
      <c r="C578" t="inlineStr">
        <is>
          <t>Skogsbilväg</t>
        </is>
      </c>
      <c r="D578" s="1" t="n">
        <v>44575</v>
      </c>
      <c r="E578" s="1" t="n">
        <v>46322</v>
      </c>
      <c r="F578" t="inlineStr">
        <is>
          <t>JÖNKÖPINGS LÄN</t>
        </is>
      </c>
      <c r="G578" t="inlineStr">
        <is>
          <t>NÄSSJÖ</t>
        </is>
      </c>
      <c r="I578" t="n">
        <v>1.3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s="2" t="inlineStr"/>
    </row>
    <row r="579" ht="15" customHeight="1">
      <c r="A579" t="inlineStr">
        <is>
          <t>S 1666-2023</t>
        </is>
      </c>
      <c r="B579" t="inlineStr">
        <is>
          <t>samrådsanmälan</t>
        </is>
      </c>
      <c r="C579" t="inlineStr">
        <is>
          <t>Askåterföring</t>
        </is>
      </c>
      <c r="D579" s="1" t="n">
        <v>45062</v>
      </c>
      <c r="E579" s="1" t="n">
        <v>46322</v>
      </c>
      <c r="F579" t="inlineStr">
        <is>
          <t>JÖNKÖPINGS LÄN</t>
        </is>
      </c>
      <c r="G579" t="inlineStr">
        <is>
          <t>NÄSSJÖ</t>
        </is>
      </c>
      <c r="I579" t="n">
        <v>16.5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s="2" t="inlineStr"/>
    </row>
    <row r="580" ht="15" customHeight="1">
      <c r="A580" t="inlineStr">
        <is>
          <t>S 1408-2023</t>
        </is>
      </c>
      <c r="B580" t="inlineStr">
        <is>
          <t>samrådsanmälan</t>
        </is>
      </c>
      <c r="C580" t="inlineStr">
        <is>
          <t>Askåterföring</t>
        </is>
      </c>
      <c r="D580" s="1" t="n">
        <v>45042</v>
      </c>
      <c r="E580" s="1" t="n">
        <v>46322</v>
      </c>
      <c r="F580" t="inlineStr">
        <is>
          <t>JÖNKÖPINGS LÄN</t>
        </is>
      </c>
      <c r="G580" t="inlineStr">
        <is>
          <t>NÄSSJÖ</t>
        </is>
      </c>
      <c r="H580" t="inlineStr">
        <is>
          <t>Kommuner</t>
        </is>
      </c>
      <c r="I580" t="n">
        <v>65.2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s="2" t="inlineStr"/>
    </row>
    <row r="581" ht="15" customHeight="1">
      <c r="A581" t="inlineStr">
        <is>
          <t>S 1731-2025</t>
        </is>
      </c>
      <c r="B581" t="inlineStr">
        <is>
          <t>samrådsanmälan</t>
        </is>
      </c>
      <c r="C581" t="inlineStr">
        <is>
          <t>Askåterföring</t>
        </is>
      </c>
      <c r="D581" s="1" t="n">
        <v>45809</v>
      </c>
      <c r="E581" s="1" t="n">
        <v>46322</v>
      </c>
      <c r="F581" t="inlineStr">
        <is>
          <t>JÖNKÖPINGS LÄN</t>
        </is>
      </c>
      <c r="G581" t="inlineStr">
        <is>
          <t>NÄSSJÖ</t>
        </is>
      </c>
      <c r="I581" t="n">
        <v>27.6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s="2" t="inlineStr"/>
    </row>
    <row r="582" ht="15" customHeight="1">
      <c r="A582" t="inlineStr">
        <is>
          <t>S 1699-2025</t>
        </is>
      </c>
      <c r="B582" t="inlineStr">
        <is>
          <t>samrådsanmälan</t>
        </is>
      </c>
      <c r="C582" t="inlineStr">
        <is>
          <t>Annan skogsbruksåtgärd</t>
        </is>
      </c>
      <c r="D582" s="1" t="n">
        <v>45804</v>
      </c>
      <c r="E582" s="1" t="n">
        <v>46322</v>
      </c>
      <c r="F582" t="inlineStr">
        <is>
          <t>JÖNKÖPINGS LÄN</t>
        </is>
      </c>
      <c r="G582" t="inlineStr">
        <is>
          <t>NÄSSJÖ</t>
        </is>
      </c>
      <c r="I582" t="n">
        <v>2.9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s="2" t="inlineStr"/>
    </row>
    <row r="583" ht="15" customHeight="1">
      <c r="A583" t="inlineStr">
        <is>
          <t>S 2024-2025</t>
        </is>
      </c>
      <c r="B583" t="inlineStr">
        <is>
          <t>samrådsanmälan</t>
        </is>
      </c>
      <c r="C583" t="inlineStr">
        <is>
          <t>Askåterföring</t>
        </is>
      </c>
      <c r="D583" s="1" t="n">
        <v>45835</v>
      </c>
      <c r="E583" s="1" t="n">
        <v>46322</v>
      </c>
      <c r="F583" t="inlineStr">
        <is>
          <t>JÖNKÖPINGS LÄN</t>
        </is>
      </c>
      <c r="G583" t="inlineStr">
        <is>
          <t>NÄSSJÖ</t>
        </is>
      </c>
      <c r="I583" t="n">
        <v>12.6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s="2" t="inlineStr"/>
    </row>
    <row r="584" ht="15" customHeight="1">
      <c r="A584" t="inlineStr">
        <is>
          <t>S 688-2026</t>
        </is>
      </c>
      <c r="B584" t="inlineStr">
        <is>
          <t>samrådsanmälan</t>
        </is>
      </c>
      <c r="C584" t="inlineStr">
        <is>
          <t>Askåterföring</t>
        </is>
      </c>
      <c r="D584" s="1" t="n">
        <v>46091</v>
      </c>
      <c r="E584" s="1" t="n">
        <v>46322</v>
      </c>
      <c r="F584" t="inlineStr">
        <is>
          <t>JÖNKÖPINGS LÄN</t>
        </is>
      </c>
      <c r="G584" t="inlineStr">
        <is>
          <t>NÄSSJÖ</t>
        </is>
      </c>
      <c r="I584" t="n">
        <v>8.9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s="2" t="inlineStr"/>
    </row>
    <row r="585" ht="15" customHeight="1">
      <c r="A585" t="inlineStr">
        <is>
          <t>S 691-2026</t>
        </is>
      </c>
      <c r="B585" t="inlineStr">
        <is>
          <t>samrådsanmälan</t>
        </is>
      </c>
      <c r="C585" t="inlineStr">
        <is>
          <t>Askåterföring</t>
        </is>
      </c>
      <c r="D585" s="1" t="n">
        <v>46091</v>
      </c>
      <c r="E585" s="1" t="n">
        <v>46322</v>
      </c>
      <c r="F585" t="inlineStr">
        <is>
          <t>JÖNKÖPINGS LÄN</t>
        </is>
      </c>
      <c r="G585" t="inlineStr">
        <is>
          <t>NÄSSJÖ</t>
        </is>
      </c>
      <c r="I585" t="n">
        <v>33.2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s="2" t="inlineStr"/>
    </row>
    <row r="586" ht="15" customHeight="1">
      <c r="A586" t="inlineStr">
        <is>
          <t>S 1942-2026</t>
        </is>
      </c>
      <c r="B586" t="inlineStr">
        <is>
          <t>samrådsanmälan</t>
        </is>
      </c>
      <c r="C586" t="inlineStr">
        <is>
          <t>Annan skogsbruksåtgärd</t>
        </is>
      </c>
      <c r="D586" s="1" t="n">
        <v>46209</v>
      </c>
      <c r="E586" s="1" t="n">
        <v>46322</v>
      </c>
      <c r="F586" t="inlineStr">
        <is>
          <t>JÖNKÖPINGS LÄN</t>
        </is>
      </c>
      <c r="G586" t="inlineStr">
        <is>
          <t>NÄSSJÖ</t>
        </is>
      </c>
      <c r="H586" t="inlineStr">
        <is>
          <t>Sveaskog</t>
        </is>
      </c>
      <c r="I586" t="n">
        <v>1.8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s="2" t="inlineStr"/>
    </row>
    <row r="587">
      <c r="A587" t="inlineStr">
        <is>
          <t>S 1332-2026</t>
        </is>
      </c>
      <c r="B587" t="inlineStr">
        <is>
          <t>samrådsanmälan</t>
        </is>
      </c>
      <c r="C587" t="inlineStr">
        <is>
          <t>Annan skogsbruksåtgärd</t>
        </is>
      </c>
      <c r="D587" s="1" t="n">
        <v>46150</v>
      </c>
      <c r="E587" s="1" t="n">
        <v>46322</v>
      </c>
      <c r="F587" t="inlineStr">
        <is>
          <t>JÖNKÖPINGS LÄN</t>
        </is>
      </c>
      <c r="G587" t="inlineStr">
        <is>
          <t>NÄSSJÖ</t>
        </is>
      </c>
      <c r="I587" t="n">
        <v>2.4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2026-10-27T03:11:20Z</dcterms:created>
  <dcterms:modified xmlns:dcterms="http://purl.org/dc/terms/" xmlns:xsi="http://www.w3.org/2001/XMLSchema-instance" xsi:type="dcterms:W3CDTF">2026-10-27T03:11:20Z</dcterms:modified>
</cp:coreProperties>
</file>