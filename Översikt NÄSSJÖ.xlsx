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46312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14539-2024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45394</v>
      </c>
      <c r="E8" s="1" t="n">
        <v>46312</v>
      </c>
      <c r="F8" t="inlineStr">
        <is>
          <t>JÖNKÖPINGS LÄN</t>
        </is>
      </c>
      <c r="G8" t="inlineStr">
        <is>
          <t>NÄSSJÖ</t>
        </is>
      </c>
      <c r="I8" t="n">
        <v>9.9</v>
      </c>
      <c r="J8" t="n">
        <v>4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Blå kärrhök
Entita
Flodsångare
Kungsfågel</t>
        </is>
      </c>
      <c r="W8">
        <f>HYPERLINK("https://klasma.github.io/Logging_0682/artfynd/A 14539-2024 artfynd.xlsx", "A 14539-2024")</f>
        <v/>
      </c>
      <c r="X8">
        <f>HYPERLINK("https://klasma.github.io/Logging_0682/kartor/A 14539-2024 karta.png", "A 14539-2024")</f>
        <v/>
      </c>
      <c r="Y8">
        <f>HYPERLINK("https://klasma.github.io/Logging_0682/kartor_geotiff/A 14539-2024 georefererad karta.tif", "A 14539-2024")</f>
        <v/>
      </c>
      <c r="AA8">
        <f>HYPERLINK("https://klasma.github.io/Logging_0682/klagomål/A 14539-2024 FSC-klagomål.docx", "A 14539-2024")</f>
        <v/>
      </c>
      <c r="AB8">
        <f>HYPERLINK("https://klasma.github.io/Logging_0682/klagomålsmail/A 14539-2024 FSC-klagomål mail.docx", "A 14539-2024")</f>
        <v/>
      </c>
      <c r="AC8">
        <f>HYPERLINK("https://klasma.github.io/Logging_0682/tillsyn/A 14539-2024 tillsynsbegäran.docx", "A 14539-2024")</f>
        <v/>
      </c>
      <c r="AD8">
        <f>HYPERLINK("https://klasma.github.io/Logging_0682/tillsynsmail/A 14539-2024 tillsynsbegäran mail.docx", "A 14539-2024")</f>
        <v/>
      </c>
      <c r="AE8">
        <f>HYPERLINK("https://klasma.github.io/Logging_0682/fåglar/A 14539-2024 prioriterade fågelarter.docx", "A 14539-2024")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46312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46312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46312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37846-2025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45881</v>
      </c>
      <c r="E12" s="1" t="n">
        <v>46312</v>
      </c>
      <c r="F12" t="inlineStr">
        <is>
          <t>JÖNKÖPINGS LÄN</t>
        </is>
      </c>
      <c r="G12" t="inlineStr">
        <is>
          <t>NÄSSJÖ</t>
        </is>
      </c>
      <c r="I12" t="n">
        <v>2.7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Slåtterfibbla
Sommarfibbla
Ängsstarr
Tvåblad</t>
        </is>
      </c>
      <c r="W12">
        <f>HYPERLINK("https://klasma.github.io/Logging_0682/artfynd/A 37846-2025 artfynd.xlsx", "A 37846-2025")</f>
        <v/>
      </c>
      <c r="X12">
        <f>HYPERLINK("https://klasma.github.io/Logging_0682/kartor/A 37846-2025 karta.png", "A 37846-2025")</f>
        <v/>
      </c>
      <c r="Y12">
        <f>HYPERLINK("https://klasma.github.io/Logging_0682/kartor_geotiff/A 37846-2025 georefererad karta.tif", "A 37846-2025")</f>
        <v/>
      </c>
      <c r="AA12">
        <f>HYPERLINK("https://klasma.github.io/Logging_0682/klagomål/A 37846-2025 FSC-klagomål.docx", "A 37846-2025")</f>
        <v/>
      </c>
      <c r="AB12">
        <f>HYPERLINK("https://klasma.github.io/Logging_0682/klagomålsmail/A 37846-2025 FSC-klagomål mail.docx", "A 37846-2025")</f>
        <v/>
      </c>
      <c r="AC12">
        <f>HYPERLINK("https://klasma.github.io/Logging_0682/tillsyn/A 37846-2025 tillsynsbegäran.docx", "A 37846-2025")</f>
        <v/>
      </c>
      <c r="AD12">
        <f>HYPERLINK("https://klasma.github.io/Logging_0682/tillsynsmail/A 37846-2025 tillsynsbegäran mail.docx", "A 37846-2025")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46312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46312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41961-2026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46303</v>
      </c>
      <c r="E15" s="1" t="n">
        <v>46312</v>
      </c>
      <c r="F15" t="inlineStr">
        <is>
          <t>JÖNKÖPINGS LÄN</t>
        </is>
      </c>
      <c r="G15" t="inlineStr">
        <is>
          <t>NÄSSJÖ</t>
        </is>
      </c>
      <c r="I15" t="n">
        <v>4.6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Mindre blåvinge
Sexfläckig bastardsvärmare
Ängsmetallvinge</t>
        </is>
      </c>
      <c r="W15">
        <f>HYPERLINK("https://klasma.github.io/Logging_0682/artfynd/A 41961-2026 artfynd.xlsx", "A 41961-2026")</f>
        <v/>
      </c>
      <c r="X15">
        <f>HYPERLINK("https://klasma.github.io/Logging_0682/kartor/A 41961-2026 karta.png", "A 41961-2026")</f>
        <v/>
      </c>
      <c r="Y15">
        <f>HYPERLINK("https://klasma.github.io/Logging_0682/kartor_geotiff/A 41961-2026 georefererad karta.tif", "A 41961-2026")</f>
        <v/>
      </c>
      <c r="AA15">
        <f>HYPERLINK("https://klasma.github.io/Logging_0682/klagomål/A 41961-2026 FSC-klagomål.docx", "A 41961-2026")</f>
        <v/>
      </c>
      <c r="AB15">
        <f>HYPERLINK("https://klasma.github.io/Logging_0682/klagomålsmail/A 41961-2026 FSC-klagomål mail.docx", "A 41961-2026")</f>
        <v/>
      </c>
      <c r="AC15">
        <f>HYPERLINK("https://klasma.github.io/Logging_0682/tillsyn/A 41961-2026 tillsynsbegäran.docx", "A 41961-2026")</f>
        <v/>
      </c>
      <c r="AD15">
        <f>HYPERLINK("https://klasma.github.io/Logging_0682/tillsynsmail/A 41961-2026 tillsynsbegäran mail.docx", "A 41961-2026")</f>
        <v/>
      </c>
    </row>
    <row r="16" ht="15" customHeight="1">
      <c r="A16" t="inlineStr">
        <is>
          <t>A 5433-2025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45692</v>
      </c>
      <c r="E16" s="1" t="n">
        <v>46312</v>
      </c>
      <c r="F16" t="inlineStr">
        <is>
          <t>JÖNKÖPINGS LÄN</t>
        </is>
      </c>
      <c r="G16" t="inlineStr">
        <is>
          <t>NÄSSJÖ</t>
        </is>
      </c>
      <c r="I16" t="n">
        <v>7.9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Jungfrulin
Svinrot</t>
        </is>
      </c>
      <c r="W16">
        <f>HYPERLINK("https://klasma.github.io/Logging_0682/artfynd/A 5433-2025 artfynd.xlsx", "A 5433-2025")</f>
        <v/>
      </c>
      <c r="X16">
        <f>HYPERLINK("https://klasma.github.io/Logging_0682/kartor/A 5433-2025 karta.png", "A 5433-2025")</f>
        <v/>
      </c>
      <c r="Y16">
        <f>HYPERLINK("https://klasma.github.io/Logging_0682/kartor_geotiff/A 5433-2025 georefererad karta.tif", "A 5433-2025")</f>
        <v/>
      </c>
      <c r="AA16">
        <f>HYPERLINK("https://klasma.github.io/Logging_0682/klagomål/A 5433-2025 FSC-klagomål.docx", "A 5433-2025")</f>
        <v/>
      </c>
      <c r="AB16">
        <f>HYPERLINK("https://klasma.github.io/Logging_0682/klagomålsmail/A 5433-2025 FSC-klagomål mail.docx", "A 5433-2025")</f>
        <v/>
      </c>
      <c r="AC16">
        <f>HYPERLINK("https://klasma.github.io/Logging_0682/tillsyn/A 5433-2025 tillsynsbegäran.docx", "A 5433-2025")</f>
        <v/>
      </c>
      <c r="AD16">
        <f>HYPERLINK("https://klasma.github.io/Logging_0682/tillsynsmail/A 5433-2025 tillsynsbegäran mail.docx", "A 5433-2025")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46312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46312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A 34527-2025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46312</v>
      </c>
      <c r="F19" t="inlineStr">
        <is>
          <t>JÖNKÖPINGS LÄN</t>
        </is>
      </c>
      <c r="G19" t="inlineStr">
        <is>
          <t>NÄSSJÖ</t>
        </is>
      </c>
      <c r="H19" t="inlineStr">
        <is>
          <t>Kyrkan</t>
        </is>
      </c>
      <c r="I19" t="n">
        <v>6.2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Jungfrulin
Svinrot</t>
        </is>
      </c>
      <c r="W19">
        <f>HYPERLINK("https://klasma.github.io/Logging_0682/artfynd/A 34527-2025 artfynd.xlsx", "A 34527-2025")</f>
        <v/>
      </c>
      <c r="X19">
        <f>HYPERLINK("https://klasma.github.io/Logging_0682/kartor/A 34527-2025 karta.png", "A 34527-2025")</f>
        <v/>
      </c>
      <c r="Y19">
        <f>HYPERLINK("https://klasma.github.io/Logging_0682/kartor_geotiff/A 34527-2025 georefererad karta.tif", "A 34527-2025")</f>
        <v/>
      </c>
      <c r="AA19">
        <f>HYPERLINK("https://klasma.github.io/Logging_0682/klagomål/A 34527-2025 FSC-klagomål.docx", "A 34527-2025")</f>
        <v/>
      </c>
      <c r="AB19">
        <f>HYPERLINK("https://klasma.github.io/Logging_0682/klagomålsmail/A 34527-2025 FSC-klagomål mail.docx", "A 34527-2025")</f>
        <v/>
      </c>
      <c r="AC19">
        <f>HYPERLINK("https://klasma.github.io/Logging_0682/tillsyn/A 34527-2025 tillsynsbegäran.docx", "A 34527-2025")</f>
        <v/>
      </c>
      <c r="AD19">
        <f>HYPERLINK("https://klasma.github.io/Logging_0682/tillsynsmail/A 34527-2025 tillsynsbegäran mail.docx", "A 34527-2025")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46312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46312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46312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46312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46312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46312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39717-2022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44819</v>
      </c>
      <c r="E26" s="1" t="n">
        <v>46312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Jungfrulin</t>
        </is>
      </c>
      <c r="W26">
        <f>HYPERLINK("https://klasma.github.io/Logging_0682/artfynd/A 39717-2022 artfynd.xlsx", "A 39717-2022")</f>
        <v/>
      </c>
      <c r="X26">
        <f>HYPERLINK("https://klasma.github.io/Logging_0682/kartor/A 39717-2022 karta.png", "A 39717-2022")</f>
        <v/>
      </c>
      <c r="Y26">
        <f>HYPERLINK("https://klasma.github.io/Logging_0682/kartor_geotiff/A 39717-2022 georefererad karta.tif", "A 39717-2022")</f>
        <v/>
      </c>
      <c r="AA26">
        <f>HYPERLINK("https://klasma.github.io/Logging_0682/klagomål/A 39717-2022 FSC-klagomål.docx", "A 39717-2022")</f>
        <v/>
      </c>
      <c r="AB26">
        <f>HYPERLINK("https://klasma.github.io/Logging_0682/klagomålsmail/A 39717-2022 FSC-klagomål mail.docx", "A 39717-2022")</f>
        <v/>
      </c>
      <c r="AC26">
        <f>HYPERLINK("https://klasma.github.io/Logging_0682/tillsyn/A 39717-2022 tillsynsbegäran.docx", "A 39717-2022")</f>
        <v/>
      </c>
      <c r="AD26">
        <f>HYPERLINK("https://klasma.github.io/Logging_0682/tillsynsmail/A 39717-2022 tillsynsbegäran mail.docx", "A 39717-2022")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46312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46312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46312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27215-2023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45096</v>
      </c>
      <c r="E30" s="1" t="n">
        <v>46312</v>
      </c>
      <c r="F30" t="inlineStr">
        <is>
          <t>JÖNKÖPINGS LÄN</t>
        </is>
      </c>
      <c r="G30" t="inlineStr">
        <is>
          <t>NÄSSJÖ</t>
        </is>
      </c>
      <c r="I30" t="n">
        <v>13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HYPERLINK("https://klasma.github.io/Logging_0682/artfynd/A 27215-2023 artfynd.xlsx", "A 27215-2023")</f>
        <v/>
      </c>
      <c r="X30">
        <f>HYPERLINK("https://klasma.github.io/Logging_0682/kartor/A 27215-2023 karta.png", "A 27215-2023")</f>
        <v/>
      </c>
      <c r="Y30">
        <f>HYPERLINK("https://klasma.github.io/Logging_0682/kartor_geotiff/A 27215-2023 georefererad karta.tif", "A 27215-2023")</f>
        <v/>
      </c>
      <c r="AA30">
        <f>HYPERLINK("https://klasma.github.io/Logging_0682/klagomål/A 27215-2023 FSC-klagomål.docx", "A 27215-2023")</f>
        <v/>
      </c>
      <c r="AB30">
        <f>HYPERLINK("https://klasma.github.io/Logging_0682/klagomålsmail/A 27215-2023 FSC-klagomål mail.docx", "A 27215-2023")</f>
        <v/>
      </c>
      <c r="AC30">
        <f>HYPERLINK("https://klasma.github.io/Logging_0682/tillsyn/A 27215-2023 tillsynsbegäran.docx", "A 27215-2023")</f>
        <v/>
      </c>
      <c r="AD30">
        <f>HYPERLINK("https://klasma.github.io/Logging_0682/tillsynsmail/A 27215-2023 tillsynsbegäran mail.docx", "A 27215-2023")</f>
        <v/>
      </c>
      <c r="AE30">
        <f>HYPERLINK("https://klasma.github.io/Logging_0682/fåglar/A 27215-2023 prioriterade fågelarter.docx", "A 27215-2023")</f>
        <v/>
      </c>
    </row>
    <row r="31" ht="15" customHeight="1">
      <c r="A31" t="inlineStr">
        <is>
          <t>A 33372-2025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46312</v>
      </c>
      <c r="F31" t="inlineStr">
        <is>
          <t>JÖNKÖPINGS LÄN</t>
        </is>
      </c>
      <c r="G31" t="inlineStr">
        <is>
          <t>NÄSSJÖ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HYPERLINK("https://klasma.github.io/Logging_0682/artfynd/A 33372-2025 artfynd.xlsx", "A 33372-2025")</f>
        <v/>
      </c>
      <c r="X31">
        <f>HYPERLINK("https://klasma.github.io/Logging_0682/kartor/A 33372-2025 karta.png", "A 33372-2025")</f>
        <v/>
      </c>
      <c r="Y31">
        <f>HYPERLINK("https://klasma.github.io/Logging_0682/kartor_geotiff/A 33372-2025 georefererad karta.tif", "A 33372-2025")</f>
        <v/>
      </c>
      <c r="AA31">
        <f>HYPERLINK("https://klasma.github.io/Logging_0682/klagomål/A 33372-2025 FSC-klagomål.docx", "A 33372-2025")</f>
        <v/>
      </c>
      <c r="AB31">
        <f>HYPERLINK("https://klasma.github.io/Logging_0682/klagomålsmail/A 33372-2025 FSC-klagomål mail.docx", "A 33372-2025")</f>
        <v/>
      </c>
      <c r="AC31">
        <f>HYPERLINK("https://klasma.github.io/Logging_0682/tillsyn/A 33372-2025 tillsynsbegäran.docx", "A 33372-2025")</f>
        <v/>
      </c>
      <c r="AD31">
        <f>HYPERLINK("https://klasma.github.io/Logging_0682/tillsynsmail/A 33372-2025 tillsynsbegäran mail.docx", "A 33372-2025")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46312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Järnsparv</t>
        </is>
      </c>
      <c r="W32">
        <f>HYPERLINK("https://klasma.github.io/Logging_0682/artfynd/A 3693-2022 artfynd.xlsx", "A 3693-2022")</f>
        <v/>
      </c>
      <c r="X32">
        <f>HYPERLINK("https://klasma.github.io/Logging_0682/kartor/A 3693-2022 karta.png", "A 3693-2022")</f>
        <v/>
      </c>
      <c r="Y32">
        <f>HYPERLINK("https://klasma.github.io/Logging_0682/kartor_geotiff/A 3693-2022 georefererad karta.tif", "A 3693-2022")</f>
        <v/>
      </c>
      <c r="AA32">
        <f>HYPERLINK("https://klasma.github.io/Logging_0682/klagomål/A 3693-2022 FSC-klagomål.docx", "A 3693-2022")</f>
        <v/>
      </c>
      <c r="AB32">
        <f>HYPERLINK("https://klasma.github.io/Logging_0682/klagomålsmail/A 3693-2022 FSC-klagomål mail.docx", "A 3693-2022")</f>
        <v/>
      </c>
      <c r="AC32">
        <f>HYPERLINK("https://klasma.github.io/Logging_0682/tillsyn/A 3693-2022 tillsynsbegäran.docx", "A 3693-2022")</f>
        <v/>
      </c>
      <c r="AD32">
        <f>HYPERLINK("https://klasma.github.io/Logging_0682/tillsynsmail/A 3693-2022 tillsynsbegäran mail.docx", "A 3693-2022")</f>
        <v/>
      </c>
      <c r="AE32">
        <f>HYPERLINK("https://klasma.github.io/Logging_0682/fåglar/A 3693-2022 prioriterade fågelarter.docx", "A 3693-2022")</f>
        <v/>
      </c>
    </row>
    <row r="33" ht="15" customHeight="1">
      <c r="A33" t="inlineStr">
        <is>
          <t>A 46451-2022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46312</v>
      </c>
      <c r="F33" t="inlineStr">
        <is>
          <t>JÖNKÖPINGS LÄN</t>
        </is>
      </c>
      <c r="G33" t="inlineStr">
        <is>
          <t>NÄSSJÖ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Sälg</t>
        </is>
      </c>
      <c r="W33">
        <f>HYPERLINK("https://klasma.github.io/Logging_0682/artfynd/A 46451-2022 artfynd.xlsx", "A 46451-2022")</f>
        <v/>
      </c>
      <c r="X33">
        <f>HYPERLINK("https://klasma.github.io/Logging_0682/kartor/A 46451-2022 karta.png", "A 46451-2022")</f>
        <v/>
      </c>
      <c r="Y33">
        <f>HYPERLINK("https://klasma.github.io/Logging_0682/kartor_geotiff/A 46451-2022 georefererad karta.tif", "A 46451-2022")</f>
        <v/>
      </c>
      <c r="AA33">
        <f>HYPERLINK("https://klasma.github.io/Logging_0682/klagomål/A 46451-2022 FSC-klagomål.docx", "A 46451-2022")</f>
        <v/>
      </c>
      <c r="AB33">
        <f>HYPERLINK("https://klasma.github.io/Logging_0682/klagomålsmail/A 46451-2022 FSC-klagomål mail.docx", "A 46451-2022")</f>
        <v/>
      </c>
      <c r="AC33">
        <f>HYPERLINK("https://klasma.github.io/Logging_0682/tillsyn/A 46451-2022 tillsynsbegäran.docx", "A 46451-2022")</f>
        <v/>
      </c>
      <c r="AD33">
        <f>HYPERLINK("https://klasma.github.io/Logging_0682/tillsynsmail/A 46451-2022 tillsynsbegäran mail.docx", "A 46451-2022")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46312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46312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46312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46312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46312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46312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46312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46312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46312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46312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46312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46312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46312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46312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46312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A 33373-2025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46312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Ögonpyrola</t>
        </is>
      </c>
      <c r="W49">
        <f>HYPERLINK("https://klasma.github.io/Logging_0682/artfynd/A 33373-2025 artfynd.xlsx", "A 33373-2025")</f>
        <v/>
      </c>
      <c r="X49">
        <f>HYPERLINK("https://klasma.github.io/Logging_0682/kartor/A 33373-2025 karta.png", "A 33373-2025")</f>
        <v/>
      </c>
      <c r="Y49">
        <f>HYPERLINK("https://klasma.github.io/Logging_0682/kartor_geotiff/A 33373-2025 georefererad karta.tif", "A 33373-2025")</f>
        <v/>
      </c>
      <c r="AA49">
        <f>HYPERLINK("https://klasma.github.io/Logging_0682/klagomål/A 33373-2025 FSC-klagomål.docx", "A 33373-2025")</f>
        <v/>
      </c>
      <c r="AB49">
        <f>HYPERLINK("https://klasma.github.io/Logging_0682/klagomålsmail/A 33373-2025 FSC-klagomål mail.docx", "A 33373-2025")</f>
        <v/>
      </c>
      <c r="AC49">
        <f>HYPERLINK("https://klasma.github.io/Logging_0682/tillsyn/A 33373-2025 tillsynsbegäran.docx", "A 33373-2025")</f>
        <v/>
      </c>
      <c r="AD49">
        <f>HYPERLINK("https://klasma.github.io/Logging_0682/tillsynsmail/A 33373-2025 tillsynsbegäran mail.docx", "A 33373-2025")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46312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46312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46312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46312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46312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46312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46312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46312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46312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46312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46312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46312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46312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46312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46312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44579</v>
      </c>
      <c r="E65" s="1" t="n">
        <v>46312</v>
      </c>
      <c r="F65" t="inlineStr">
        <is>
          <t>JÖNKÖPINGS LÄN</t>
        </is>
      </c>
      <c r="G65" t="inlineStr">
        <is>
          <t>NÄSSJÖ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46312</v>
      </c>
      <c r="F66" t="inlineStr">
        <is>
          <t>JÖNKÖPINGS LÄN</t>
        </is>
      </c>
      <c r="G66" t="inlineStr">
        <is>
          <t>NÄSSJÖ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44691</v>
      </c>
      <c r="E67" s="1" t="n">
        <v>46312</v>
      </c>
      <c r="F67" t="inlineStr">
        <is>
          <t>JÖNKÖPINGS LÄN</t>
        </is>
      </c>
      <c r="G67" t="inlineStr">
        <is>
          <t>NÄSSJÖ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46312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46312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46312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46312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46312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46312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46312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46312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46312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46312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46312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46312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46312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46312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46312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46312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46312</v>
      </c>
      <c r="F84" t="inlineStr">
        <is>
          <t>JÖNKÖPINGS LÄN</t>
        </is>
      </c>
      <c r="G84" t="inlineStr">
        <is>
          <t>NÄSSJÖ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46312</v>
      </c>
      <c r="F85" t="inlineStr">
        <is>
          <t>JÖNKÖPINGS LÄN</t>
        </is>
      </c>
      <c r="G85" t="inlineStr">
        <is>
          <t>NÄSSJÖ</t>
        </is>
      </c>
      <c r="I85" t="n">
        <v>12.9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29183-2022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46312</v>
      </c>
      <c r="F86" t="inlineStr">
        <is>
          <t>JÖNKÖPINGS LÄN</t>
        </is>
      </c>
      <c r="G86" t="inlineStr">
        <is>
          <t>NÄSSJÖ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46312</v>
      </c>
      <c r="F87" t="inlineStr">
        <is>
          <t>JÖNKÖPINGS LÄN</t>
        </is>
      </c>
      <c r="G87" t="inlineStr">
        <is>
          <t>NÄSSJÖ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44887</v>
      </c>
      <c r="E88" s="1" t="n">
        <v>46312</v>
      </c>
      <c r="F88" t="inlineStr">
        <is>
          <t>JÖNKÖPINGS LÄN</t>
        </is>
      </c>
      <c r="G88" t="inlineStr">
        <is>
          <t>NÄSSJÖ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46312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46312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46312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46312</v>
      </c>
      <c r="F92" t="inlineStr">
        <is>
          <t>JÖNKÖPINGS LÄN</t>
        </is>
      </c>
      <c r="G92" t="inlineStr">
        <is>
          <t>NÄSSJÖ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46312</v>
      </c>
      <c r="F93" t="inlineStr">
        <is>
          <t>JÖNKÖPINGS LÄN</t>
        </is>
      </c>
      <c r="G93" t="inlineStr">
        <is>
          <t>NÄSSJÖ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46312</v>
      </c>
      <c r="F94" t="inlineStr">
        <is>
          <t>JÖNKÖPINGS LÄN</t>
        </is>
      </c>
      <c r="G94" t="inlineStr">
        <is>
          <t>NÄSSJÖ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46312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46312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46312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45021</v>
      </c>
      <c r="E98" s="1" t="n">
        <v>46312</v>
      </c>
      <c r="F98" t="inlineStr">
        <is>
          <t>JÖNKÖPINGS LÄN</t>
        </is>
      </c>
      <c r="G98" t="inlineStr">
        <is>
          <t>NÄSSJÖ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49880-2023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45213</v>
      </c>
      <c r="E99" s="1" t="n">
        <v>46312</v>
      </c>
      <c r="F99" t="inlineStr">
        <is>
          <t>JÖNKÖPINGS LÄN</t>
        </is>
      </c>
      <c r="G99" t="inlineStr">
        <is>
          <t>NÄSSJÖ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46312</v>
      </c>
      <c r="F100" t="inlineStr">
        <is>
          <t>JÖNKÖPINGS LÄN</t>
        </is>
      </c>
      <c r="G100" t="inlineStr">
        <is>
          <t>NÄSSJÖ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46312</v>
      </c>
      <c r="F101" t="inlineStr">
        <is>
          <t>JÖNKÖPINGS LÄN</t>
        </is>
      </c>
      <c r="G101" t="inlineStr">
        <is>
          <t>NÄSSJÖ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45720</v>
      </c>
      <c r="E102" s="1" t="n">
        <v>46312</v>
      </c>
      <c r="F102" t="inlineStr">
        <is>
          <t>JÖNKÖPINGS LÄN</t>
        </is>
      </c>
      <c r="G102" t="inlineStr">
        <is>
          <t>NÄSSJÖ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51136-2023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45219</v>
      </c>
      <c r="E103" s="1" t="n">
        <v>46312</v>
      </c>
      <c r="F103" t="inlineStr">
        <is>
          <t>JÖNKÖPINGS LÄN</t>
        </is>
      </c>
      <c r="G103" t="inlineStr">
        <is>
          <t>NÄSSJÖ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45704</v>
      </c>
      <c r="E104" s="1" t="n">
        <v>46312</v>
      </c>
      <c r="F104" t="inlineStr">
        <is>
          <t>JÖNKÖPINGS LÄN</t>
        </is>
      </c>
      <c r="G104" t="inlineStr">
        <is>
          <t>NÄSSJÖ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8531-2023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44972</v>
      </c>
      <c r="E105" s="1" t="n">
        <v>46312</v>
      </c>
      <c r="F105" t="inlineStr">
        <is>
          <t>JÖNKÖPINGS LÄN</t>
        </is>
      </c>
      <c r="G105" t="inlineStr">
        <is>
          <t>NÄSSJÖ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55592-2023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46312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46312</v>
      </c>
      <c r="F107" t="inlineStr">
        <is>
          <t>JÖNKÖPINGS LÄN</t>
        </is>
      </c>
      <c r="G107" t="inlineStr">
        <is>
          <t>NÄSSJÖ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45302</v>
      </c>
      <c r="E108" s="1" t="n">
        <v>46312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45277</v>
      </c>
      <c r="E109" s="1" t="n">
        <v>46312</v>
      </c>
      <c r="F109" t="inlineStr">
        <is>
          <t>JÖNKÖPINGS LÄN</t>
        </is>
      </c>
      <c r="G109" t="inlineStr">
        <is>
          <t>NÄSSJÖ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45031</v>
      </c>
      <c r="E110" s="1" t="n">
        <v>46312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46312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46312</v>
      </c>
      <c r="F112" t="inlineStr">
        <is>
          <t>JÖNKÖPINGS LÄN</t>
        </is>
      </c>
      <c r="G112" t="inlineStr">
        <is>
          <t>NÄSSJÖ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46312</v>
      </c>
      <c r="F113" t="inlineStr">
        <is>
          <t>JÖNKÖPINGS LÄN</t>
        </is>
      </c>
      <c r="G113" t="inlineStr">
        <is>
          <t>NÄSSJÖ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46312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46312</v>
      </c>
      <c r="F115" t="inlineStr">
        <is>
          <t>JÖNKÖPINGS LÄN</t>
        </is>
      </c>
      <c r="G115" t="inlineStr">
        <is>
          <t>NÄSSJÖ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46312</v>
      </c>
      <c r="F116" t="inlineStr">
        <is>
          <t>JÖNKÖPINGS LÄN</t>
        </is>
      </c>
      <c r="G116" t="inlineStr">
        <is>
          <t>NÄSSJÖ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31172-2024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45503</v>
      </c>
      <c r="E117" s="1" t="n">
        <v>46312</v>
      </c>
      <c r="F117" t="inlineStr">
        <is>
          <t>JÖNKÖPINGS LÄN</t>
        </is>
      </c>
      <c r="G117" t="inlineStr">
        <is>
          <t>NÄSSJÖ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46312</v>
      </c>
      <c r="F118" t="inlineStr">
        <is>
          <t>JÖNKÖPINGS LÄN</t>
        </is>
      </c>
      <c r="G118" t="inlineStr">
        <is>
          <t>NÄSSJÖ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44867</v>
      </c>
      <c r="E119" s="1" t="n">
        <v>46312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46312</v>
      </c>
      <c r="F120" t="inlineStr">
        <is>
          <t>JÖNKÖPINGS LÄN</t>
        </is>
      </c>
      <c r="G120" t="inlineStr">
        <is>
          <t>NÄSSJÖ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46312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46312</v>
      </c>
      <c r="F122" t="inlineStr">
        <is>
          <t>JÖNKÖPINGS LÄN</t>
        </is>
      </c>
      <c r="G122" t="inlineStr">
        <is>
          <t>NÄSSJÖ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46312</v>
      </c>
      <c r="F123" t="inlineStr">
        <is>
          <t>JÖNKÖPINGS LÄN</t>
        </is>
      </c>
      <c r="G123" t="inlineStr">
        <is>
          <t>NÄSSJÖ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45109</v>
      </c>
      <c r="E124" s="1" t="n">
        <v>46312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46312</v>
      </c>
      <c r="F125" t="inlineStr">
        <is>
          <t>JÖNKÖPINGS LÄN</t>
        </is>
      </c>
      <c r="G125" t="inlineStr">
        <is>
          <t>NÄSSJÖ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46312</v>
      </c>
      <c r="F126" t="inlineStr">
        <is>
          <t>JÖNKÖPINGS LÄN</t>
        </is>
      </c>
      <c r="G126" t="inlineStr">
        <is>
          <t>NÄSSJÖ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46312</v>
      </c>
      <c r="F127" t="inlineStr">
        <is>
          <t>JÖNKÖPINGS LÄN</t>
        </is>
      </c>
      <c r="G127" t="inlineStr">
        <is>
          <t>NÄSSJÖ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46312</v>
      </c>
      <c r="F128" t="inlineStr">
        <is>
          <t>JÖNKÖPINGS LÄN</t>
        </is>
      </c>
      <c r="G128" t="inlineStr">
        <is>
          <t>NÄSSJÖ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46312</v>
      </c>
      <c r="F129" t="inlineStr">
        <is>
          <t>JÖNKÖPINGS LÄN</t>
        </is>
      </c>
      <c r="G129" t="inlineStr">
        <is>
          <t>NÄSSJÖ</t>
        </is>
      </c>
      <c r="I129" t="n">
        <v>11.8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45188</v>
      </c>
      <c r="E130" s="1" t="n">
        <v>46312</v>
      </c>
      <c r="F130" t="inlineStr">
        <is>
          <t>JÖNKÖPINGS LÄN</t>
        </is>
      </c>
      <c r="G130" t="inlineStr">
        <is>
          <t>NÄSSJÖ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46312</v>
      </c>
      <c r="F131" t="inlineStr">
        <is>
          <t>JÖNKÖPINGS LÄN</t>
        </is>
      </c>
      <c r="G131" t="inlineStr">
        <is>
          <t>NÄSSJÖ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46312</v>
      </c>
      <c r="F132" t="inlineStr">
        <is>
          <t>JÖNKÖPINGS LÄN</t>
        </is>
      </c>
      <c r="G132" t="inlineStr">
        <is>
          <t>NÄSSJÖ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46312</v>
      </c>
      <c r="F133" t="inlineStr">
        <is>
          <t>JÖNKÖPINGS LÄN</t>
        </is>
      </c>
      <c r="G133" t="inlineStr">
        <is>
          <t>NÄSSJÖ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45693</v>
      </c>
      <c r="E134" s="1" t="n">
        <v>46312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46312</v>
      </c>
      <c r="F135" t="inlineStr">
        <is>
          <t>JÖNKÖPINGS LÄN</t>
        </is>
      </c>
      <c r="G135" t="inlineStr">
        <is>
          <t>NÄSSJÖ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46312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46312</v>
      </c>
      <c r="F137" t="inlineStr">
        <is>
          <t>JÖNKÖPINGS LÄN</t>
        </is>
      </c>
      <c r="G137" t="inlineStr">
        <is>
          <t>NÄSSJÖ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45014</v>
      </c>
      <c r="E138" s="1" t="n">
        <v>46312</v>
      </c>
      <c r="F138" t="inlineStr">
        <is>
          <t>JÖNKÖPINGS LÄN</t>
        </is>
      </c>
      <c r="G138" t="inlineStr">
        <is>
          <t>NÄSSJÖ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46312</v>
      </c>
      <c r="F139" t="inlineStr">
        <is>
          <t>JÖNKÖPINGS LÄN</t>
        </is>
      </c>
      <c r="G139" t="inlineStr">
        <is>
          <t>NÄSSJÖ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45732</v>
      </c>
      <c r="E140" s="1" t="n">
        <v>46312</v>
      </c>
      <c r="F140" t="inlineStr">
        <is>
          <t>JÖNKÖPINGS LÄN</t>
        </is>
      </c>
      <c r="G140" t="inlineStr">
        <is>
          <t>NÄSSJÖ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46312</v>
      </c>
      <c r="F141" t="inlineStr">
        <is>
          <t>JÖNKÖPINGS LÄN</t>
        </is>
      </c>
      <c r="G141" t="inlineStr">
        <is>
          <t>NÄSSJÖ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46312</v>
      </c>
      <c r="F142" t="inlineStr">
        <is>
          <t>JÖNKÖPINGS LÄN</t>
        </is>
      </c>
      <c r="G142" t="inlineStr">
        <is>
          <t>NÄSSJÖ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45475</v>
      </c>
      <c r="E143" s="1" t="n">
        <v>46312</v>
      </c>
      <c r="F143" t="inlineStr">
        <is>
          <t>JÖNKÖPINGS LÄN</t>
        </is>
      </c>
      <c r="G143" t="inlineStr">
        <is>
          <t>NÄSSJÖ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46312</v>
      </c>
      <c r="F144" t="inlineStr">
        <is>
          <t>JÖNKÖPINGS LÄN</t>
        </is>
      </c>
      <c r="G144" t="inlineStr">
        <is>
          <t>NÄSSJÖ</t>
        </is>
      </c>
      <c r="H144" t="inlineStr">
        <is>
          <t>Övriga Aktiebolag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45412</v>
      </c>
      <c r="E145" s="1" t="n">
        <v>46312</v>
      </c>
      <c r="F145" t="inlineStr">
        <is>
          <t>JÖNKÖPINGS LÄN</t>
        </is>
      </c>
      <c r="G145" t="inlineStr">
        <is>
          <t>NÄSSJÖ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45677</v>
      </c>
      <c r="E146" s="1" t="n">
        <v>46312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44360-2023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45188</v>
      </c>
      <c r="E147" s="1" t="n">
        <v>46312</v>
      </c>
      <c r="F147" t="inlineStr">
        <is>
          <t>JÖNKÖPINGS LÄN</t>
        </is>
      </c>
      <c r="G147" t="inlineStr">
        <is>
          <t>NÄSSJÖ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45517</v>
      </c>
      <c r="E148" s="1" t="n">
        <v>46312</v>
      </c>
      <c r="F148" t="inlineStr">
        <is>
          <t>JÖNKÖPINGS LÄN</t>
        </is>
      </c>
      <c r="G148" t="inlineStr">
        <is>
          <t>NÄSSJÖ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46312</v>
      </c>
      <c r="F149" t="inlineStr">
        <is>
          <t>JÖNKÖPINGS LÄN</t>
        </is>
      </c>
      <c r="G149" t="inlineStr">
        <is>
          <t>NÄSSJÖ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45402</v>
      </c>
      <c r="E150" s="1" t="n">
        <v>46312</v>
      </c>
      <c r="F150" t="inlineStr">
        <is>
          <t>JÖNKÖPINGS LÄN</t>
        </is>
      </c>
      <c r="G150" t="inlineStr">
        <is>
          <t>NÄSSJÖ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46312</v>
      </c>
      <c r="F151" t="inlineStr">
        <is>
          <t>JÖNKÖPINGS LÄN</t>
        </is>
      </c>
      <c r="G151" t="inlineStr">
        <is>
          <t>NÄSSJÖ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46312</v>
      </c>
      <c r="F152" t="inlineStr">
        <is>
          <t>JÖNKÖPINGS LÄN</t>
        </is>
      </c>
      <c r="G152" t="inlineStr">
        <is>
          <t>NÄSSJÖ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46312</v>
      </c>
      <c r="F153" t="inlineStr">
        <is>
          <t>JÖNKÖPINGS LÄN</t>
        </is>
      </c>
      <c r="G153" t="inlineStr">
        <is>
          <t>NÄSSJÖ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44699</v>
      </c>
      <c r="E154" s="1" t="n">
        <v>46312</v>
      </c>
      <c r="F154" t="inlineStr">
        <is>
          <t>JÖNKÖPINGS LÄN</t>
        </is>
      </c>
      <c r="G154" t="inlineStr">
        <is>
          <t>NÄSSJÖ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45046</v>
      </c>
      <c r="E155" s="1" t="n">
        <v>46312</v>
      </c>
      <c r="F155" t="inlineStr">
        <is>
          <t>JÖNKÖPINGS LÄN</t>
        </is>
      </c>
      <c r="G155" t="inlineStr">
        <is>
          <t>NÄSSJÖ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46312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46312</v>
      </c>
      <c r="F157" t="inlineStr">
        <is>
          <t>JÖNKÖPINGS LÄN</t>
        </is>
      </c>
      <c r="G157" t="inlineStr">
        <is>
          <t>NÄSSJÖ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46312</v>
      </c>
      <c r="F158" t="inlineStr">
        <is>
          <t>JÖNKÖPINGS LÄN</t>
        </is>
      </c>
      <c r="G158" t="inlineStr">
        <is>
          <t>NÄSSJÖ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45488</v>
      </c>
      <c r="E159" s="1" t="n">
        <v>46312</v>
      </c>
      <c r="F159" t="inlineStr">
        <is>
          <t>JÖNKÖPINGS LÄN</t>
        </is>
      </c>
      <c r="G159" t="inlineStr">
        <is>
          <t>NÄSSJÖ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46312</v>
      </c>
      <c r="F160" t="inlineStr">
        <is>
          <t>JÖNKÖPINGS LÄN</t>
        </is>
      </c>
      <c r="G160" t="inlineStr">
        <is>
          <t>NÄSSJÖ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46312</v>
      </c>
      <c r="F161" t="inlineStr">
        <is>
          <t>JÖNKÖPINGS LÄN</t>
        </is>
      </c>
      <c r="G161" t="inlineStr">
        <is>
          <t>NÄSSJÖ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46312</v>
      </c>
      <c r="F162" t="inlineStr">
        <is>
          <t>JÖNKÖPINGS LÄN</t>
        </is>
      </c>
      <c r="G162" t="inlineStr">
        <is>
          <t>NÄSSJÖ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46312</v>
      </c>
      <c r="F163" t="inlineStr">
        <is>
          <t>JÖNKÖPINGS LÄN</t>
        </is>
      </c>
      <c r="G163" t="inlineStr">
        <is>
          <t>NÄSSJÖ</t>
        </is>
      </c>
      <c r="I163" t="n">
        <v>13.7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44928</v>
      </c>
      <c r="E164" s="1" t="n">
        <v>46312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45732</v>
      </c>
      <c r="E165" s="1" t="n">
        <v>46312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46312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46312</v>
      </c>
      <c r="F167" t="inlineStr">
        <is>
          <t>JÖNKÖPINGS LÄN</t>
        </is>
      </c>
      <c r="G167" t="inlineStr">
        <is>
          <t>NÄSSJÖ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46312</v>
      </c>
      <c r="F168" t="inlineStr">
        <is>
          <t>JÖNKÖPINGS LÄN</t>
        </is>
      </c>
      <c r="G168" t="inlineStr">
        <is>
          <t>NÄSSJÖ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46312</v>
      </c>
      <c r="F169" t="inlineStr">
        <is>
          <t>JÖNKÖPINGS LÄN</t>
        </is>
      </c>
      <c r="G169" t="inlineStr">
        <is>
          <t>NÄSSJÖ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45322</v>
      </c>
      <c r="E170" s="1" t="n">
        <v>46312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46312</v>
      </c>
      <c r="F171" t="inlineStr">
        <is>
          <t>JÖNKÖPINGS LÄN</t>
        </is>
      </c>
      <c r="G171" t="inlineStr">
        <is>
          <t>NÄSSJÖ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46312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46312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46312</v>
      </c>
      <c r="F174" t="inlineStr">
        <is>
          <t>JÖNKÖPINGS LÄN</t>
        </is>
      </c>
      <c r="G174" t="inlineStr">
        <is>
          <t>NÄSSJÖ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45916</v>
      </c>
      <c r="E175" s="1" t="n">
        <v>46312</v>
      </c>
      <c r="F175" t="inlineStr">
        <is>
          <t>JÖNKÖPINGS LÄN</t>
        </is>
      </c>
      <c r="G175" t="inlineStr">
        <is>
          <t>NÄSSJÖ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46312</v>
      </c>
      <c r="F176" t="inlineStr">
        <is>
          <t>JÖNKÖPINGS LÄN</t>
        </is>
      </c>
      <c r="G176" t="inlineStr">
        <is>
          <t>NÄSSJÖ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39555-2025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45890</v>
      </c>
      <c r="E177" s="1" t="n">
        <v>46312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46312</v>
      </c>
      <c r="F178" t="inlineStr">
        <is>
          <t>JÖNKÖPINGS LÄN</t>
        </is>
      </c>
      <c r="G178" t="inlineStr">
        <is>
          <t>NÄSSJÖ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46312</v>
      </c>
      <c r="F179" t="inlineStr">
        <is>
          <t>JÖNKÖPINGS LÄN</t>
        </is>
      </c>
      <c r="G179" t="inlineStr">
        <is>
          <t>NÄSSJÖ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46312</v>
      </c>
      <c r="F180" t="inlineStr">
        <is>
          <t>JÖNKÖPINGS LÄN</t>
        </is>
      </c>
      <c r="G180" t="inlineStr">
        <is>
          <t>NÄSSJÖ</t>
        </is>
      </c>
      <c r="H180" t="inlineStr">
        <is>
          <t>Kommuner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46312</v>
      </c>
      <c r="F181" t="inlineStr">
        <is>
          <t>JÖNKÖPINGS LÄN</t>
        </is>
      </c>
      <c r="G181" t="inlineStr">
        <is>
          <t>NÄSSJÖ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46312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46312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46312</v>
      </c>
      <c r="F184" t="inlineStr">
        <is>
          <t>JÖNKÖPINGS LÄN</t>
        </is>
      </c>
      <c r="G184" t="inlineStr">
        <is>
          <t>NÄSSJÖ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20606-2026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46140</v>
      </c>
      <c r="E185" s="1" t="n">
        <v>46312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46312</v>
      </c>
      <c r="F186" t="inlineStr">
        <is>
          <t>JÖNKÖPINGS LÄN</t>
        </is>
      </c>
      <c r="G186" t="inlineStr">
        <is>
          <t>NÄSSJÖ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46312</v>
      </c>
      <c r="F187" t="inlineStr">
        <is>
          <t>JÖNKÖPINGS LÄN</t>
        </is>
      </c>
      <c r="G187" t="inlineStr">
        <is>
          <t>NÄSSJÖ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46312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46312</v>
      </c>
      <c r="F189" t="inlineStr">
        <is>
          <t>JÖNKÖPINGS LÄN</t>
        </is>
      </c>
      <c r="G189" t="inlineStr">
        <is>
          <t>NÄSSJÖ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45083</v>
      </c>
      <c r="E190" s="1" t="n">
        <v>46312</v>
      </c>
      <c r="F190" t="inlineStr">
        <is>
          <t>JÖNKÖPINGS LÄN</t>
        </is>
      </c>
      <c r="G190" t="inlineStr">
        <is>
          <t>NÄSSJÖ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45573</v>
      </c>
      <c r="E191" s="1" t="n">
        <v>46312</v>
      </c>
      <c r="F191" t="inlineStr">
        <is>
          <t>JÖNKÖPINGS LÄN</t>
        </is>
      </c>
      <c r="G191" t="inlineStr">
        <is>
          <t>NÄSSJÖ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46312</v>
      </c>
      <c r="F192" t="inlineStr">
        <is>
          <t>JÖNKÖPINGS LÄN</t>
        </is>
      </c>
      <c r="G192" t="inlineStr">
        <is>
          <t>NÄSSJÖ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46312</v>
      </c>
      <c r="F193" t="inlineStr">
        <is>
          <t>JÖNKÖPINGS LÄN</t>
        </is>
      </c>
      <c r="G193" t="inlineStr">
        <is>
          <t>NÄSSJÖ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46312</v>
      </c>
      <c r="F194" t="inlineStr">
        <is>
          <t>JÖNKÖPINGS LÄN</t>
        </is>
      </c>
      <c r="G194" t="inlineStr">
        <is>
          <t>NÄSSJÖ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46312</v>
      </c>
      <c r="F195" t="inlineStr">
        <is>
          <t>JÖNKÖPINGS LÄN</t>
        </is>
      </c>
      <c r="G195" t="inlineStr">
        <is>
          <t>NÄSSJÖ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44873</v>
      </c>
      <c r="E196" s="1" t="n">
        <v>46312</v>
      </c>
      <c r="F196" t="inlineStr">
        <is>
          <t>JÖNKÖPINGS LÄN</t>
        </is>
      </c>
      <c r="G196" t="inlineStr">
        <is>
          <t>NÄSSJÖ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46312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46312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46312</v>
      </c>
      <c r="F199" t="inlineStr">
        <is>
          <t>JÖNKÖPINGS LÄN</t>
        </is>
      </c>
      <c r="G199" t="inlineStr">
        <is>
          <t>NÄSSJÖ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46312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46312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46312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44594</v>
      </c>
      <c r="E203" s="1" t="n">
        <v>46312</v>
      </c>
      <c r="F203" t="inlineStr">
        <is>
          <t>JÖNKÖPINGS LÄN</t>
        </is>
      </c>
      <c r="G203" t="inlineStr">
        <is>
          <t>NÄSSJÖ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46312</v>
      </c>
      <c r="F204" t="inlineStr">
        <is>
          <t>JÖNKÖPINGS LÄN</t>
        </is>
      </c>
      <c r="G204" t="inlineStr">
        <is>
          <t>NÄSSJÖ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45083</v>
      </c>
      <c r="E205" s="1" t="n">
        <v>46312</v>
      </c>
      <c r="F205" t="inlineStr">
        <is>
          <t>JÖNKÖPINGS LÄN</t>
        </is>
      </c>
      <c r="G205" t="inlineStr">
        <is>
          <t>NÄSSJÖ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46312</v>
      </c>
      <c r="F206" t="inlineStr">
        <is>
          <t>JÖNKÖPINGS LÄN</t>
        </is>
      </c>
      <c r="G206" t="inlineStr">
        <is>
          <t>NÄSSJÖ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46312</v>
      </c>
      <c r="F207" t="inlineStr">
        <is>
          <t>JÖNKÖPINGS LÄN</t>
        </is>
      </c>
      <c r="G207" t="inlineStr">
        <is>
          <t>NÄSSJÖ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46312</v>
      </c>
      <c r="F208" t="inlineStr">
        <is>
          <t>JÖNKÖPINGS LÄN</t>
        </is>
      </c>
      <c r="G208" t="inlineStr">
        <is>
          <t>NÄSSJÖ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45365</v>
      </c>
      <c r="E209" s="1" t="n">
        <v>46312</v>
      </c>
      <c r="F209" t="inlineStr">
        <is>
          <t>JÖNKÖPINGS LÄN</t>
        </is>
      </c>
      <c r="G209" t="inlineStr">
        <is>
          <t>NÄSSJÖ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45917</v>
      </c>
      <c r="E210" s="1" t="n">
        <v>46312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46312</v>
      </c>
      <c r="F211" t="inlineStr">
        <is>
          <t>JÖNKÖPINGS LÄN</t>
        </is>
      </c>
      <c r="G211" t="inlineStr">
        <is>
          <t>NÄSSJÖ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46312</v>
      </c>
      <c r="F212" t="inlineStr">
        <is>
          <t>JÖNKÖPINGS LÄN</t>
        </is>
      </c>
      <c r="G212" t="inlineStr">
        <is>
          <t>NÄSSJÖ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46312</v>
      </c>
      <c r="F213" t="inlineStr">
        <is>
          <t>JÖNKÖPINGS LÄN</t>
        </is>
      </c>
      <c r="G213" t="inlineStr">
        <is>
          <t>NÄSSJÖ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46312</v>
      </c>
      <c r="F214" t="inlineStr">
        <is>
          <t>JÖNKÖPINGS LÄN</t>
        </is>
      </c>
      <c r="G214" t="inlineStr">
        <is>
          <t>NÄSSJÖ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45631</v>
      </c>
      <c r="E215" s="1" t="n">
        <v>46312</v>
      </c>
      <c r="F215" t="inlineStr">
        <is>
          <t>JÖNKÖPINGS LÄN</t>
        </is>
      </c>
      <c r="G215" t="inlineStr">
        <is>
          <t>NÄSSJÖ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46312</v>
      </c>
      <c r="F216" t="inlineStr">
        <is>
          <t>JÖNKÖPINGS LÄN</t>
        </is>
      </c>
      <c r="G216" t="inlineStr">
        <is>
          <t>NÄSSJÖ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46312</v>
      </c>
      <c r="F217" t="inlineStr">
        <is>
          <t>JÖNKÖPINGS LÄN</t>
        </is>
      </c>
      <c r="G217" t="inlineStr">
        <is>
          <t>NÄSSJÖ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45601</v>
      </c>
      <c r="E218" s="1" t="n">
        <v>46312</v>
      </c>
      <c r="F218" t="inlineStr">
        <is>
          <t>JÖNKÖPINGS LÄN</t>
        </is>
      </c>
      <c r="G218" t="inlineStr">
        <is>
          <t>NÄSSJÖ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46312</v>
      </c>
      <c r="F219" t="inlineStr">
        <is>
          <t>JÖNKÖPINGS LÄN</t>
        </is>
      </c>
      <c r="G219" t="inlineStr">
        <is>
          <t>NÄSSJÖ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46312</v>
      </c>
      <c r="F220" t="inlineStr">
        <is>
          <t>JÖNKÖPINGS LÄN</t>
        </is>
      </c>
      <c r="G220" t="inlineStr">
        <is>
          <t>NÄSSJÖ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45361</v>
      </c>
      <c r="E221" s="1" t="n">
        <v>46312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71606-2021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44541</v>
      </c>
      <c r="E222" s="1" t="n">
        <v>46312</v>
      </c>
      <c r="F222" t="inlineStr">
        <is>
          <t>JÖNKÖPINGS LÄN</t>
        </is>
      </c>
      <c r="G222" t="inlineStr">
        <is>
          <t>NÄSSJÖ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45942</v>
      </c>
      <c r="E223" s="1" t="n">
        <v>46312</v>
      </c>
      <c r="F223" t="inlineStr">
        <is>
          <t>JÖNKÖPINGS LÄN</t>
        </is>
      </c>
      <c r="G223" t="inlineStr">
        <is>
          <t>NÄSSJÖ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50219-2025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45943</v>
      </c>
      <c r="E224" s="1" t="n">
        <v>46312</v>
      </c>
      <c r="F224" t="inlineStr">
        <is>
          <t>JÖNKÖPINGS LÄN</t>
        </is>
      </c>
      <c r="G224" t="inlineStr">
        <is>
          <t>NÄSSJÖ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46312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46312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46312</v>
      </c>
      <c r="F227" t="inlineStr">
        <is>
          <t>JÖNKÖPINGS LÄN</t>
        </is>
      </c>
      <c r="G227" t="inlineStr">
        <is>
          <t>NÄSSJÖ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45742</v>
      </c>
      <c r="E228" s="1" t="n">
        <v>46312</v>
      </c>
      <c r="F228" t="inlineStr">
        <is>
          <t>JÖNKÖPINGS LÄN</t>
        </is>
      </c>
      <c r="G228" t="inlineStr">
        <is>
          <t>NÄSSJÖ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44776</v>
      </c>
      <c r="E229" s="1" t="n">
        <v>46312</v>
      </c>
      <c r="F229" t="inlineStr">
        <is>
          <t>JÖNKÖPINGS LÄN</t>
        </is>
      </c>
      <c r="G229" t="inlineStr">
        <is>
          <t>NÄSSJÖ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50439-2025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45944</v>
      </c>
      <c r="E230" s="1" t="n">
        <v>46312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46312</v>
      </c>
      <c r="F231" t="inlineStr">
        <is>
          <t>JÖNKÖPINGS LÄN</t>
        </is>
      </c>
      <c r="G231" t="inlineStr">
        <is>
          <t>NÄSSJÖ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45277</v>
      </c>
      <c r="E232" s="1" t="n">
        <v>46312</v>
      </c>
      <c r="F232" t="inlineStr">
        <is>
          <t>JÖNKÖPINGS LÄN</t>
        </is>
      </c>
      <c r="G232" t="inlineStr">
        <is>
          <t>NÄSSJÖ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46312</v>
      </c>
      <c r="F233" t="inlineStr">
        <is>
          <t>JÖNKÖPINGS LÄN</t>
        </is>
      </c>
      <c r="G233" t="inlineStr">
        <is>
          <t>NÄSSJÖ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46312</v>
      </c>
      <c r="F234" t="inlineStr">
        <is>
          <t>JÖNKÖPINGS LÄN</t>
        </is>
      </c>
      <c r="G234" t="inlineStr">
        <is>
          <t>NÄSSJÖ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46312</v>
      </c>
      <c r="F235" t="inlineStr">
        <is>
          <t>JÖNKÖPINGS LÄN</t>
        </is>
      </c>
      <c r="G235" t="inlineStr">
        <is>
          <t>NÄSSJÖ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45398</v>
      </c>
      <c r="E236" s="1" t="n">
        <v>46312</v>
      </c>
      <c r="F236" t="inlineStr">
        <is>
          <t>JÖNKÖPINGS LÄN</t>
        </is>
      </c>
      <c r="G236" t="inlineStr">
        <is>
          <t>NÄSSJÖ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46312</v>
      </c>
      <c r="F237" t="inlineStr">
        <is>
          <t>JÖNKÖPINGS LÄN</t>
        </is>
      </c>
      <c r="G237" t="inlineStr">
        <is>
          <t>NÄSSJÖ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46312</v>
      </c>
      <c r="F238" t="inlineStr">
        <is>
          <t>JÖNKÖPINGS LÄN</t>
        </is>
      </c>
      <c r="G238" t="inlineStr">
        <is>
          <t>NÄSSJÖ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46312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46312</v>
      </c>
      <c r="F240" t="inlineStr">
        <is>
          <t>JÖNKÖPINGS LÄN</t>
        </is>
      </c>
      <c r="G240" t="inlineStr">
        <is>
          <t>NÄSSJÖ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46312</v>
      </c>
      <c r="F241" t="inlineStr">
        <is>
          <t>JÖNKÖPINGS LÄN</t>
        </is>
      </c>
      <c r="G241" t="inlineStr">
        <is>
          <t>NÄSSJÖ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46312</v>
      </c>
      <c r="F242" t="inlineStr">
        <is>
          <t>JÖNKÖPINGS LÄN</t>
        </is>
      </c>
      <c r="G242" t="inlineStr">
        <is>
          <t>NÄSSJÖ</t>
        </is>
      </c>
      <c r="H242" t="inlineStr">
        <is>
          <t>Kommuner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46312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45391</v>
      </c>
      <c r="E244" s="1" t="n">
        <v>46312</v>
      </c>
      <c r="F244" t="inlineStr">
        <is>
          <t>JÖNKÖPINGS LÄN</t>
        </is>
      </c>
      <c r="G244" t="inlineStr">
        <is>
          <t>NÄSSJÖ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45391</v>
      </c>
      <c r="E245" s="1" t="n">
        <v>46312</v>
      </c>
      <c r="F245" t="inlineStr">
        <is>
          <t>JÖNKÖPINGS LÄN</t>
        </is>
      </c>
      <c r="G245" t="inlineStr">
        <is>
          <t>NÄSSJÖ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46312</v>
      </c>
      <c r="F246" t="inlineStr">
        <is>
          <t>JÖNKÖPINGS LÄN</t>
        </is>
      </c>
      <c r="G246" t="inlineStr">
        <is>
          <t>NÄSSJÖ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46312</v>
      </c>
      <c r="F247" t="inlineStr">
        <is>
          <t>JÖNKÖPINGS LÄN</t>
        </is>
      </c>
      <c r="G247" t="inlineStr">
        <is>
          <t>NÄSSJÖ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45118</v>
      </c>
      <c r="E248" s="1" t="n">
        <v>46312</v>
      </c>
      <c r="F248" t="inlineStr">
        <is>
          <t>JÖNKÖPINGS LÄN</t>
        </is>
      </c>
      <c r="G248" t="inlineStr">
        <is>
          <t>NÄSSJÖ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46312</v>
      </c>
      <c r="F249" t="inlineStr">
        <is>
          <t>JÖNKÖPINGS LÄN</t>
        </is>
      </c>
      <c r="G249" t="inlineStr">
        <is>
          <t>NÄSSJÖ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46312</v>
      </c>
      <c r="F250" t="inlineStr">
        <is>
          <t>JÖNKÖPINGS LÄN</t>
        </is>
      </c>
      <c r="G250" t="inlineStr">
        <is>
          <t>NÄSSJÖ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46312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46312</v>
      </c>
      <c r="F252" t="inlineStr">
        <is>
          <t>JÖNKÖPINGS LÄN</t>
        </is>
      </c>
      <c r="G252" t="inlineStr">
        <is>
          <t>NÄSSJÖ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HYPERLINK("https://klasma.github.io/Logging_0682/knärot/A 56586-2025 karta knärot.png", "A 56586-2025")</f>
        <v/>
      </c>
      <c r="AA252">
        <f>HYPERLINK("https://klasma.github.io/Logging_0682/klagomål/A 56586-2025 FSC-klagomål.docx", "A 56586-2025")</f>
        <v/>
      </c>
      <c r="AB252">
        <f>HYPERLINK("https://klasma.github.io/Logging_0682/klagomålsmail/A 56586-2025 FSC-klagomål mail.docx", "A 56586-2025")</f>
        <v/>
      </c>
      <c r="AC252">
        <f>HYPERLINK("https://klasma.github.io/Logging_0682/tillsyn/A 56586-2025 tillsynsbegäran.docx", "A 56586-2025")</f>
        <v/>
      </c>
      <c r="AD252">
        <f>HYPERLINK("https://klasma.github.io/Logging_0682/tillsynsmail/A 56586-2025 tillsynsbegäran mail.docx", "A 56586-2025")</f>
        <v/>
      </c>
    </row>
    <row r="253" ht="15" customHeight="1">
      <c r="A253" t="inlineStr">
        <is>
          <t>A 36604-2022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46312</v>
      </c>
      <c r="F253" t="inlineStr">
        <is>
          <t>JÖNKÖPINGS LÄN</t>
        </is>
      </c>
      <c r="G253" t="inlineStr">
        <is>
          <t>NÄSSJÖ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46312</v>
      </c>
      <c r="F254" t="inlineStr">
        <is>
          <t>JÖNKÖPINGS LÄN</t>
        </is>
      </c>
      <c r="G254" t="inlineStr">
        <is>
          <t>NÄSSJÖ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56411-2024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45625</v>
      </c>
      <c r="E255" s="1" t="n">
        <v>46312</v>
      </c>
      <c r="F255" t="inlineStr">
        <is>
          <t>JÖNKÖPINGS LÄN</t>
        </is>
      </c>
      <c r="G255" t="inlineStr">
        <is>
          <t>NÄSSJÖ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46312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45454</v>
      </c>
      <c r="E257" s="1" t="n">
        <v>46312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46312</v>
      </c>
      <c r="F258" t="inlineStr">
        <is>
          <t>JÖNKÖPINGS LÄN</t>
        </is>
      </c>
      <c r="G258" t="inlineStr">
        <is>
          <t>NÄSSJÖ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46312</v>
      </c>
      <c r="F259" t="inlineStr">
        <is>
          <t>JÖNKÖPINGS LÄN</t>
        </is>
      </c>
      <c r="G259" t="inlineStr">
        <is>
          <t>NÄSSJÖ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46312</v>
      </c>
      <c r="F260" t="inlineStr">
        <is>
          <t>JÖNKÖPINGS LÄN</t>
        </is>
      </c>
      <c r="G260" t="inlineStr">
        <is>
          <t>NÄSSJÖ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46312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49339-2022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44858</v>
      </c>
      <c r="E262" s="1" t="n">
        <v>46312</v>
      </c>
      <c r="F262" t="inlineStr">
        <is>
          <t>JÖNKÖPINGS LÄN</t>
        </is>
      </c>
      <c r="G262" t="inlineStr">
        <is>
          <t>NÄSSJÖ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46312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45259</v>
      </c>
      <c r="E264" s="1" t="n">
        <v>46312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46312</v>
      </c>
      <c r="F265" t="inlineStr">
        <is>
          <t>JÖNKÖPINGS LÄN</t>
        </is>
      </c>
      <c r="G265" t="inlineStr">
        <is>
          <t>NÄSSJÖ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45320</v>
      </c>
      <c r="E266" s="1" t="n">
        <v>46312</v>
      </c>
      <c r="F266" t="inlineStr">
        <is>
          <t>JÖNKÖPINGS LÄN</t>
        </is>
      </c>
      <c r="G266" t="inlineStr">
        <is>
          <t>NÄSSJÖ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46312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46312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43156-2024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46312</v>
      </c>
      <c r="F269" t="inlineStr">
        <is>
          <t>JÖNKÖPINGS LÄN</t>
        </is>
      </c>
      <c r="G269" t="inlineStr">
        <is>
          <t>NÄSSJÖ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46312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46312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42685-2024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46312</v>
      </c>
      <c r="F272" t="inlineStr">
        <is>
          <t>JÖNKÖPINGS LÄN</t>
        </is>
      </c>
      <c r="G272" t="inlineStr">
        <is>
          <t>NÄSSJÖ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46312</v>
      </c>
      <c r="F273" t="inlineStr">
        <is>
          <t>JÖNKÖPINGS LÄN</t>
        </is>
      </c>
      <c r="G273" t="inlineStr">
        <is>
          <t>NÄSSJÖ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46312</v>
      </c>
      <c r="F274" t="inlineStr">
        <is>
          <t>JÖNKÖPINGS LÄN</t>
        </is>
      </c>
      <c r="G274" t="inlineStr">
        <is>
          <t>NÄSSJÖ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46312</v>
      </c>
      <c r="F275" t="inlineStr">
        <is>
          <t>JÖNKÖPINGS LÄN</t>
        </is>
      </c>
      <c r="G275" t="inlineStr">
        <is>
          <t>NÄSSJÖ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46312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46312</v>
      </c>
      <c r="F277" t="inlineStr">
        <is>
          <t>JÖNKÖPINGS LÄN</t>
        </is>
      </c>
      <c r="G277" t="inlineStr">
        <is>
          <t>NÄSSJÖ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60535-2025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45995</v>
      </c>
      <c r="E278" s="1" t="n">
        <v>46312</v>
      </c>
      <c r="F278" t="inlineStr">
        <is>
          <t>JÖNKÖPINGS LÄN</t>
        </is>
      </c>
      <c r="G278" t="inlineStr">
        <is>
          <t>NÄSSJÖ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46312</v>
      </c>
      <c r="F279" t="inlineStr">
        <is>
          <t>JÖNKÖPINGS LÄN</t>
        </is>
      </c>
      <c r="G279" t="inlineStr">
        <is>
          <t>NÄSSJÖ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60907-2025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46312</v>
      </c>
      <c r="F280" t="inlineStr">
        <is>
          <t>JÖNKÖPINGS LÄN</t>
        </is>
      </c>
      <c r="G280" t="inlineStr">
        <is>
          <t>NÄSSJÖ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46312</v>
      </c>
      <c r="F281" t="inlineStr">
        <is>
          <t>JÖNKÖPINGS LÄN</t>
        </is>
      </c>
      <c r="G281" t="inlineStr">
        <is>
          <t>NÄSSJÖ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46312</v>
      </c>
      <c r="F282" t="inlineStr">
        <is>
          <t>JÖNKÖPINGS LÄN</t>
        </is>
      </c>
      <c r="G282" t="inlineStr">
        <is>
          <t>NÄSSJÖ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15862-2022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44664</v>
      </c>
      <c r="E283" s="1" t="n">
        <v>46312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45630</v>
      </c>
      <c r="E284" s="1" t="n">
        <v>46312</v>
      </c>
      <c r="F284" t="inlineStr">
        <is>
          <t>JÖNKÖPINGS LÄN</t>
        </is>
      </c>
      <c r="G284" t="inlineStr">
        <is>
          <t>NÄSSJÖ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64665-2023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46312</v>
      </c>
      <c r="F285" t="inlineStr">
        <is>
          <t>JÖNKÖPINGS LÄN</t>
        </is>
      </c>
      <c r="G285" t="inlineStr">
        <is>
          <t>NÄSSJÖ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46312</v>
      </c>
      <c r="F286" t="inlineStr">
        <is>
          <t>JÖNKÖPINGS LÄN</t>
        </is>
      </c>
      <c r="G286" t="inlineStr">
        <is>
          <t>NÄSSJÖ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46312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46312</v>
      </c>
      <c r="F288" t="inlineStr">
        <is>
          <t>JÖNKÖPINGS LÄN</t>
        </is>
      </c>
      <c r="G288" t="inlineStr">
        <is>
          <t>NÄSSJÖ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24873-2026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46174</v>
      </c>
      <c r="E289" s="1" t="n">
        <v>46312</v>
      </c>
      <c r="F289" t="inlineStr">
        <is>
          <t>JÖNKÖPINGS LÄN</t>
        </is>
      </c>
      <c r="G289" t="inlineStr">
        <is>
          <t>NÄSSJÖ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46312</v>
      </c>
      <c r="F290" t="inlineStr">
        <is>
          <t>JÖNKÖPINGS LÄN</t>
        </is>
      </c>
      <c r="G290" t="inlineStr">
        <is>
          <t>NÄSSJÖ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46312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46312</v>
      </c>
      <c r="F292" t="inlineStr">
        <is>
          <t>JÖNKÖPINGS LÄN</t>
        </is>
      </c>
      <c r="G292" t="inlineStr">
        <is>
          <t>NÄSSJÖ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46312</v>
      </c>
      <c r="F293" t="inlineStr">
        <is>
          <t>JÖNKÖPINGS LÄN</t>
        </is>
      </c>
      <c r="G293" t="inlineStr">
        <is>
          <t>NÄSSJÖ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46312</v>
      </c>
      <c r="F294" t="inlineStr">
        <is>
          <t>JÖNKÖPINGS LÄN</t>
        </is>
      </c>
      <c r="G294" t="inlineStr">
        <is>
          <t>NÄSSJÖ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46312</v>
      </c>
      <c r="F295" t="inlineStr">
        <is>
          <t>JÖNKÖPINGS LÄN</t>
        </is>
      </c>
      <c r="G295" t="inlineStr">
        <is>
          <t>NÄSSJÖ</t>
        </is>
      </c>
      <c r="H295" t="inlineStr">
        <is>
          <t>Sveaskog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46312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46312</v>
      </c>
      <c r="F297" t="inlineStr">
        <is>
          <t>JÖNKÖPINGS LÄN</t>
        </is>
      </c>
      <c r="G297" t="inlineStr">
        <is>
          <t>NÄSSJÖ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45270</v>
      </c>
      <c r="E298" s="1" t="n">
        <v>46312</v>
      </c>
      <c r="F298" t="inlineStr">
        <is>
          <t>JÖNKÖPINGS LÄN</t>
        </is>
      </c>
      <c r="G298" t="inlineStr">
        <is>
          <t>NÄSSJÖ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63987-2025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46021</v>
      </c>
      <c r="E299" s="1" t="n">
        <v>46312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46312</v>
      </c>
      <c r="F300" t="inlineStr">
        <is>
          <t>JÖNKÖPINGS LÄN</t>
        </is>
      </c>
      <c r="G300" t="inlineStr">
        <is>
          <t>NÄSSJÖ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45680</v>
      </c>
      <c r="E301" s="1" t="n">
        <v>46312</v>
      </c>
      <c r="F301" t="inlineStr">
        <is>
          <t>JÖNKÖPINGS LÄN</t>
        </is>
      </c>
      <c r="G301" t="inlineStr">
        <is>
          <t>NÄSSJÖ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46030</v>
      </c>
      <c r="E302" s="1" t="n">
        <v>46312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45380</v>
      </c>
      <c r="E303" s="1" t="n">
        <v>46312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46312</v>
      </c>
      <c r="F304" t="inlineStr">
        <is>
          <t>JÖNKÖPINGS LÄN</t>
        </is>
      </c>
      <c r="G304" t="inlineStr">
        <is>
          <t>NÄSSJÖ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46312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46312</v>
      </c>
      <c r="F306" t="inlineStr">
        <is>
          <t>JÖNKÖPINGS LÄN</t>
        </is>
      </c>
      <c r="G306" t="inlineStr">
        <is>
          <t>NÄSSJÖ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46312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46312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46312</v>
      </c>
      <c r="F309" t="inlineStr">
        <is>
          <t>JÖNKÖPINGS LÄN</t>
        </is>
      </c>
      <c r="G309" t="inlineStr">
        <is>
          <t>NÄSSJÖ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46312</v>
      </c>
      <c r="F310" t="inlineStr">
        <is>
          <t>JÖNKÖPINGS LÄN</t>
        </is>
      </c>
      <c r="G310" t="inlineStr">
        <is>
          <t>NÄSSJÖ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46312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46312</v>
      </c>
      <c r="F312" t="inlineStr">
        <is>
          <t>JÖNKÖPINGS LÄN</t>
        </is>
      </c>
      <c r="G312" t="inlineStr">
        <is>
          <t>NÄSSJÖ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45693</v>
      </c>
      <c r="E313" s="1" t="n">
        <v>46312</v>
      </c>
      <c r="F313" t="inlineStr">
        <is>
          <t>JÖNKÖPINGS LÄN</t>
        </is>
      </c>
      <c r="G313" t="inlineStr">
        <is>
          <t>NÄSSJÖ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46312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46312</v>
      </c>
      <c r="F315" t="inlineStr">
        <is>
          <t>JÖNKÖPINGS LÄN</t>
        </is>
      </c>
      <c r="G315" t="inlineStr">
        <is>
          <t>NÄSSJÖ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46312</v>
      </c>
      <c r="F316" t="inlineStr">
        <is>
          <t>JÖNKÖPINGS LÄN</t>
        </is>
      </c>
      <c r="G316" t="inlineStr">
        <is>
          <t>NÄSSJÖ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46312</v>
      </c>
      <c r="F317" t="inlineStr">
        <is>
          <t>JÖNKÖPINGS LÄN</t>
        </is>
      </c>
      <c r="G317" t="inlineStr">
        <is>
          <t>NÄSSJÖ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46312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46312</v>
      </c>
      <c r="F319" t="inlineStr">
        <is>
          <t>JÖNKÖPINGS LÄN</t>
        </is>
      </c>
      <c r="G319" t="inlineStr">
        <is>
          <t>NÄSSJÖ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46312</v>
      </c>
      <c r="F320" t="inlineStr">
        <is>
          <t>JÖNKÖPINGS LÄN</t>
        </is>
      </c>
      <c r="G320" t="inlineStr">
        <is>
          <t>NÄSSJÖ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46057</v>
      </c>
      <c r="E321" s="1" t="n">
        <v>46312</v>
      </c>
      <c r="F321" t="inlineStr">
        <is>
          <t>JÖNKÖPINGS LÄN</t>
        </is>
      </c>
      <c r="G321" t="inlineStr">
        <is>
          <t>NÄSSJÖ</t>
        </is>
      </c>
      <c r="H321" t="inlineStr">
        <is>
          <t>Övriga Aktiebolag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46312</v>
      </c>
      <c r="F322" t="inlineStr">
        <is>
          <t>JÖNKÖPINGS LÄN</t>
        </is>
      </c>
      <c r="G322" t="inlineStr">
        <is>
          <t>NÄSSJÖ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46312</v>
      </c>
      <c r="F323" t="inlineStr">
        <is>
          <t>JÖNKÖPINGS LÄN</t>
        </is>
      </c>
      <c r="G323" t="inlineStr">
        <is>
          <t>NÄSSJÖ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46061</v>
      </c>
      <c r="E324" s="1" t="n">
        <v>46312</v>
      </c>
      <c r="F324" t="inlineStr">
        <is>
          <t>JÖNKÖPINGS LÄN</t>
        </is>
      </c>
      <c r="G324" t="inlineStr">
        <is>
          <t>NÄSSJÖ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15829-2024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45404</v>
      </c>
      <c r="E325" s="1" t="n">
        <v>46312</v>
      </c>
      <c r="F325" t="inlineStr">
        <is>
          <t>JÖNKÖPINGS LÄN</t>
        </is>
      </c>
      <c r="G325" t="inlineStr">
        <is>
          <t>NÄSSJÖ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46312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46312</v>
      </c>
      <c r="F327" t="inlineStr">
        <is>
          <t>JÖNKÖPINGS LÄN</t>
        </is>
      </c>
      <c r="G327" t="inlineStr">
        <is>
          <t>NÄSSJÖ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46070</v>
      </c>
      <c r="E328" s="1" t="n">
        <v>46312</v>
      </c>
      <c r="F328" t="inlineStr">
        <is>
          <t>JÖNKÖPINGS LÄN</t>
        </is>
      </c>
      <c r="G328" t="inlineStr">
        <is>
          <t>NÄSSJÖ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46187</v>
      </c>
      <c r="E329" s="1" t="n">
        <v>46312</v>
      </c>
      <c r="F329" t="inlineStr">
        <is>
          <t>JÖNKÖPINGS LÄN</t>
        </is>
      </c>
      <c r="G329" t="inlineStr">
        <is>
          <t>NÄSSJÖ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46187</v>
      </c>
      <c r="E330" s="1" t="n">
        <v>46312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46312</v>
      </c>
      <c r="F331" t="inlineStr">
        <is>
          <t>JÖNKÖPINGS LÄN</t>
        </is>
      </c>
      <c r="G331" t="inlineStr">
        <is>
          <t>NÄSSJÖ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46312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46074</v>
      </c>
      <c r="E333" s="1" t="n">
        <v>46312</v>
      </c>
      <c r="F333" t="inlineStr">
        <is>
          <t>JÖNKÖPINGS LÄN</t>
        </is>
      </c>
      <c r="G333" t="inlineStr">
        <is>
          <t>NÄSSJÖ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46312</v>
      </c>
      <c r="F334" t="inlineStr">
        <is>
          <t>JÖNKÖPINGS LÄN</t>
        </is>
      </c>
      <c r="G334" t="inlineStr">
        <is>
          <t>NÄSSJÖ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45069</v>
      </c>
      <c r="E335" s="1" t="n">
        <v>46312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11117-2026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46312</v>
      </c>
      <c r="F336" t="inlineStr">
        <is>
          <t>JÖNKÖPINGS LÄN</t>
        </is>
      </c>
      <c r="G336" t="inlineStr">
        <is>
          <t>NÄSSJÖ</t>
        </is>
      </c>
      <c r="H336" t="inlineStr">
        <is>
          <t>Kyrkan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46312</v>
      </c>
      <c r="F337" t="inlineStr">
        <is>
          <t>JÖNKÖPINGS LÄN</t>
        </is>
      </c>
      <c r="G337" t="inlineStr">
        <is>
          <t>NÄSSJÖ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46187</v>
      </c>
      <c r="E338" s="1" t="n">
        <v>46312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45266</v>
      </c>
      <c r="E339" s="1" t="n">
        <v>46312</v>
      </c>
      <c r="F339" t="inlineStr">
        <is>
          <t>JÖNKÖPINGS LÄN</t>
        </is>
      </c>
      <c r="G339" t="inlineStr">
        <is>
          <t>NÄSSJÖ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46312</v>
      </c>
      <c r="F340" t="inlineStr">
        <is>
          <t>JÖNKÖPINGS LÄN</t>
        </is>
      </c>
      <c r="G340" t="inlineStr">
        <is>
          <t>NÄSSJÖ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53636-2024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46312</v>
      </c>
      <c r="F341" t="inlineStr">
        <is>
          <t>JÖNKÖPINGS LÄN</t>
        </is>
      </c>
      <c r="G341" t="inlineStr">
        <is>
          <t>NÄSSJÖ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12564-2026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46312</v>
      </c>
      <c r="F342" t="inlineStr">
        <is>
          <t>JÖNKÖPINGS LÄN</t>
        </is>
      </c>
      <c r="G342" t="inlineStr">
        <is>
          <t>NÄSSJÖ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57758-2023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46312</v>
      </c>
      <c r="F343" t="inlineStr">
        <is>
          <t>JÖNKÖPINGS LÄN</t>
        </is>
      </c>
      <c r="G343" t="inlineStr">
        <is>
          <t>NÄSSJÖ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46312</v>
      </c>
      <c r="F344" t="inlineStr">
        <is>
          <t>JÖNKÖPINGS LÄN</t>
        </is>
      </c>
      <c r="G344" t="inlineStr">
        <is>
          <t>NÄSSJÖ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46312</v>
      </c>
      <c r="F345" t="inlineStr">
        <is>
          <t>JÖNKÖPINGS LÄN</t>
        </is>
      </c>
      <c r="G345" t="inlineStr">
        <is>
          <t>NÄSSJÖ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12652-2026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46091</v>
      </c>
      <c r="E346" s="1" t="n">
        <v>46312</v>
      </c>
      <c r="F346" t="inlineStr">
        <is>
          <t>JÖNKÖPINGS LÄN</t>
        </is>
      </c>
      <c r="G346" t="inlineStr">
        <is>
          <t>NÄSSJÖ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46312</v>
      </c>
      <c r="F347" t="inlineStr">
        <is>
          <t>JÖNKÖPINGS LÄN</t>
        </is>
      </c>
      <c r="G347" t="inlineStr">
        <is>
          <t>NÄSSJÖ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46312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46093</v>
      </c>
      <c r="E349" s="1" t="n">
        <v>46312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46312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46312</v>
      </c>
      <c r="F351" t="inlineStr">
        <is>
          <t>JÖNKÖPINGS LÄN</t>
        </is>
      </c>
      <c r="G351" t="inlineStr">
        <is>
          <t>NÄSSJÖ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46312</v>
      </c>
      <c r="F352" t="inlineStr">
        <is>
          <t>JÖNKÖPINGS LÄN</t>
        </is>
      </c>
      <c r="G352" t="inlineStr">
        <is>
          <t>NÄSSJÖ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13852-2026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46312</v>
      </c>
      <c r="F353" t="inlineStr">
        <is>
          <t>JÖNKÖPINGS LÄN</t>
        </is>
      </c>
      <c r="G353" t="inlineStr">
        <is>
          <t>NÄSSJÖ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15819-2022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44664</v>
      </c>
      <c r="E354" s="1" t="n">
        <v>46312</v>
      </c>
      <c r="F354" t="inlineStr">
        <is>
          <t>JÖNKÖPINGS LÄN</t>
        </is>
      </c>
      <c r="G354" t="inlineStr">
        <is>
          <t>NÄSSJÖ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50552-2023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46312</v>
      </c>
      <c r="F355" t="inlineStr">
        <is>
          <t>JÖNKÖPINGS LÄN</t>
        </is>
      </c>
      <c r="G355" t="inlineStr">
        <is>
          <t>NÄSSJÖ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46312</v>
      </c>
      <c r="F356" t="inlineStr">
        <is>
          <t>JÖNKÖPINGS LÄN</t>
        </is>
      </c>
      <c r="G356" t="inlineStr">
        <is>
          <t>NÄSSJÖ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14831-2026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46312</v>
      </c>
      <c r="F357" t="inlineStr">
        <is>
          <t>JÖNKÖPINGS LÄN</t>
        </is>
      </c>
      <c r="G357" t="inlineStr">
        <is>
          <t>NÄSSJÖ</t>
        </is>
      </c>
      <c r="H357" t="inlineStr">
        <is>
          <t>Kommuner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46312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46312</v>
      </c>
      <c r="F359" t="inlineStr">
        <is>
          <t>JÖNKÖPINGS LÄN</t>
        </is>
      </c>
      <c r="G359" t="inlineStr">
        <is>
          <t>NÄSSJÖ</t>
        </is>
      </c>
      <c r="H359" t="inlineStr">
        <is>
          <t>Kommuner</t>
        </is>
      </c>
      <c r="I359" t="n">
        <v>8.5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46312</v>
      </c>
      <c r="F360" t="inlineStr">
        <is>
          <t>JÖNKÖPINGS LÄN</t>
        </is>
      </c>
      <c r="G360" t="inlineStr">
        <is>
          <t>NÄSSJÖ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46312</v>
      </c>
      <c r="F361" t="inlineStr">
        <is>
          <t>JÖNKÖPINGS LÄN</t>
        </is>
      </c>
      <c r="G361" t="inlineStr">
        <is>
          <t>NÄSSJÖ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46312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45590</v>
      </c>
      <c r="E363" s="1" t="n">
        <v>46312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46312</v>
      </c>
      <c r="F364" t="inlineStr">
        <is>
          <t>JÖNKÖPINGS LÄN</t>
        </is>
      </c>
      <c r="G364" t="inlineStr">
        <is>
          <t>NÄSSJÖ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46312</v>
      </c>
      <c r="F365" t="inlineStr">
        <is>
          <t>JÖNKÖPINGS LÄN</t>
        </is>
      </c>
      <c r="G365" t="inlineStr">
        <is>
          <t>NÄSSJÖ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45595</v>
      </c>
      <c r="E366" s="1" t="n">
        <v>46312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46312</v>
      </c>
      <c r="F367" t="inlineStr">
        <is>
          <t>JÖNKÖPINGS LÄN</t>
        </is>
      </c>
      <c r="G367" t="inlineStr">
        <is>
          <t>NÄSSJÖ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46312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46312</v>
      </c>
      <c r="F369" t="inlineStr">
        <is>
          <t>JÖNKÖPINGS LÄN</t>
        </is>
      </c>
      <c r="G369" t="inlineStr">
        <is>
          <t>NÄSSJÖ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16413-2026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46312</v>
      </c>
      <c r="F370" t="inlineStr">
        <is>
          <t>JÖNKÖPINGS LÄN</t>
        </is>
      </c>
      <c r="G370" t="inlineStr">
        <is>
          <t>NÄSSJÖ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46312</v>
      </c>
      <c r="F371" t="inlineStr">
        <is>
          <t>JÖNKÖPINGS LÄN</t>
        </is>
      </c>
      <c r="G371" t="inlineStr">
        <is>
          <t>NÄSSJÖ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45236</v>
      </c>
      <c r="E372" s="1" t="n">
        <v>46312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46312</v>
      </c>
      <c r="F373" t="inlineStr">
        <is>
          <t>JÖNKÖPINGS LÄN</t>
        </is>
      </c>
      <c r="G373" t="inlineStr">
        <is>
          <t>NÄSSJÖ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17830-2024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45419</v>
      </c>
      <c r="E374" s="1" t="n">
        <v>46312</v>
      </c>
      <c r="F374" t="inlineStr">
        <is>
          <t>JÖNKÖPINGS LÄN</t>
        </is>
      </c>
      <c r="G374" t="inlineStr">
        <is>
          <t>NÄSSJÖ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45756</v>
      </c>
      <c r="E375" s="1" t="n">
        <v>46312</v>
      </c>
      <c r="F375" t="inlineStr">
        <is>
          <t>JÖNKÖPINGS LÄN</t>
        </is>
      </c>
      <c r="G375" t="inlineStr">
        <is>
          <t>NÄSSJÖ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46312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46312</v>
      </c>
      <c r="F377" t="inlineStr">
        <is>
          <t>JÖNKÖPINGS LÄN</t>
        </is>
      </c>
      <c r="G377" t="inlineStr">
        <is>
          <t>NÄSSJÖ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46312</v>
      </c>
      <c r="F378" t="inlineStr">
        <is>
          <t>JÖNKÖPINGS LÄN</t>
        </is>
      </c>
      <c r="G378" t="inlineStr">
        <is>
          <t>NÄSSJÖ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46312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46312</v>
      </c>
      <c r="F380" t="inlineStr">
        <is>
          <t>JÖNKÖPINGS LÄN</t>
        </is>
      </c>
      <c r="G380" t="inlineStr">
        <is>
          <t>NÄSSJÖ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46312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46312</v>
      </c>
      <c r="F382" t="inlineStr">
        <is>
          <t>JÖNKÖPINGS LÄN</t>
        </is>
      </c>
      <c r="G382" t="inlineStr">
        <is>
          <t>NÄSSJÖ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18843-2026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46312</v>
      </c>
      <c r="F383" t="inlineStr">
        <is>
          <t>JÖNKÖPINGS LÄN</t>
        </is>
      </c>
      <c r="G383" t="inlineStr">
        <is>
          <t>NÄSSJÖ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46312</v>
      </c>
      <c r="F384" t="inlineStr">
        <is>
          <t>JÖNKÖPINGS LÄN</t>
        </is>
      </c>
      <c r="G384" t="inlineStr">
        <is>
          <t>NÄSSJÖ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46312</v>
      </c>
      <c r="F385" t="inlineStr">
        <is>
          <t>JÖNKÖPINGS LÄN</t>
        </is>
      </c>
      <c r="G385" t="inlineStr">
        <is>
          <t>NÄSSJÖ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45372</v>
      </c>
      <c r="E386" s="1" t="n">
        <v>46312</v>
      </c>
      <c r="F386" t="inlineStr">
        <is>
          <t>JÖNKÖPINGS LÄN</t>
        </is>
      </c>
      <c r="G386" t="inlineStr">
        <is>
          <t>NÄSSJÖ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45372</v>
      </c>
      <c r="E387" s="1" t="n">
        <v>46312</v>
      </c>
      <c r="F387" t="inlineStr">
        <is>
          <t>JÖNKÖPINGS LÄN</t>
        </is>
      </c>
      <c r="G387" t="inlineStr">
        <is>
          <t>NÄSSJÖ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45132</v>
      </c>
      <c r="E388" s="1" t="n">
        <v>46312</v>
      </c>
      <c r="F388" t="inlineStr">
        <is>
          <t>JÖNKÖPINGS LÄN</t>
        </is>
      </c>
      <c r="G388" t="inlineStr">
        <is>
          <t>NÄSSJÖ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44816</v>
      </c>
      <c r="E389" s="1" t="n">
        <v>46312</v>
      </c>
      <c r="F389" t="inlineStr">
        <is>
          <t>JÖNKÖPINGS LÄN</t>
        </is>
      </c>
      <c r="G389" t="inlineStr">
        <is>
          <t>NÄSSJÖ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46312</v>
      </c>
      <c r="F390" t="inlineStr">
        <is>
          <t>JÖNKÖPINGS LÄN</t>
        </is>
      </c>
      <c r="G390" t="inlineStr">
        <is>
          <t>NÄSSJÖ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46312</v>
      </c>
      <c r="F391" t="inlineStr">
        <is>
          <t>JÖNKÖPINGS LÄN</t>
        </is>
      </c>
      <c r="G391" t="inlineStr">
        <is>
          <t>NÄSSJÖ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44972</v>
      </c>
      <c r="E392" s="1" t="n">
        <v>46312</v>
      </c>
      <c r="F392" t="inlineStr">
        <is>
          <t>JÖNKÖPINGS LÄN</t>
        </is>
      </c>
      <c r="G392" t="inlineStr">
        <is>
          <t>NÄSSJÖ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46312</v>
      </c>
      <c r="F393" t="inlineStr">
        <is>
          <t>JÖNKÖPINGS LÄN</t>
        </is>
      </c>
      <c r="G393" t="inlineStr">
        <is>
          <t>NÄSSJÖ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44994</v>
      </c>
      <c r="E394" s="1" t="n">
        <v>46312</v>
      </c>
      <c r="F394" t="inlineStr">
        <is>
          <t>JÖNKÖPINGS LÄN</t>
        </is>
      </c>
      <c r="G394" t="inlineStr">
        <is>
          <t>NÄSSJÖ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45373</v>
      </c>
      <c r="E395" s="1" t="n">
        <v>46312</v>
      </c>
      <c r="F395" t="inlineStr">
        <is>
          <t>JÖNKÖPINGS LÄN</t>
        </is>
      </c>
      <c r="G395" t="inlineStr">
        <is>
          <t>NÄSSJÖ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46312</v>
      </c>
      <c r="F396" t="inlineStr">
        <is>
          <t>JÖNKÖPINGS LÄN</t>
        </is>
      </c>
      <c r="G396" t="inlineStr">
        <is>
          <t>NÄSSJÖ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46135</v>
      </c>
      <c r="E397" s="1" t="n">
        <v>46312</v>
      </c>
      <c r="F397" t="inlineStr">
        <is>
          <t>JÖNKÖPINGS LÄN</t>
        </is>
      </c>
      <c r="G397" t="inlineStr">
        <is>
          <t>NÄSSJÖ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46312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46020</v>
      </c>
      <c r="E399" s="1" t="n">
        <v>46312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45394</v>
      </c>
      <c r="E400" s="1" t="n">
        <v>46312</v>
      </c>
      <c r="F400" t="inlineStr">
        <is>
          <t>JÖNKÖPINGS LÄN</t>
        </is>
      </c>
      <c r="G400" t="inlineStr">
        <is>
          <t>NÄSSJÖ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44993</v>
      </c>
      <c r="E401" s="1" t="n">
        <v>46312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46312</v>
      </c>
      <c r="F402" t="inlineStr">
        <is>
          <t>JÖNKÖPINGS LÄN</t>
        </is>
      </c>
      <c r="G402" t="inlineStr">
        <is>
          <t>NÄSSJÖ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52669-2023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45219</v>
      </c>
      <c r="E403" s="1" t="n">
        <v>46312</v>
      </c>
      <c r="F403" t="inlineStr">
        <is>
          <t>JÖNKÖPINGS LÄN</t>
        </is>
      </c>
      <c r="G403" t="inlineStr">
        <is>
          <t>NÄSSJÖ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46312</v>
      </c>
      <c r="F404" t="inlineStr">
        <is>
          <t>JÖNKÖPINGS LÄN</t>
        </is>
      </c>
      <c r="G404" t="inlineStr">
        <is>
          <t>NÄSSJÖ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46312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54514-2024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46312</v>
      </c>
      <c r="F406" t="inlineStr">
        <is>
          <t>JÖNKÖPINGS LÄN</t>
        </is>
      </c>
      <c r="G406" t="inlineStr">
        <is>
          <t>NÄSSJÖ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46312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46312</v>
      </c>
      <c r="F408" t="inlineStr">
        <is>
          <t>JÖNKÖPINGS LÄN</t>
        </is>
      </c>
      <c r="G408" t="inlineStr">
        <is>
          <t>NÄSSJÖ</t>
        </is>
      </c>
      <c r="H408" t="inlineStr">
        <is>
          <t>Sveaskog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46209</v>
      </c>
      <c r="E409" s="1" t="n">
        <v>46312</v>
      </c>
      <c r="F409" t="inlineStr">
        <is>
          <t>JÖNKÖPINGS LÄN</t>
        </is>
      </c>
      <c r="G409" t="inlineStr">
        <is>
          <t>NÄSSJÖ</t>
        </is>
      </c>
      <c r="H409" t="inlineStr">
        <is>
          <t>Sveaskog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46312</v>
      </c>
      <c r="F410" t="inlineStr">
        <is>
          <t>JÖNKÖPINGS LÄN</t>
        </is>
      </c>
      <c r="G410" t="inlineStr">
        <is>
          <t>NÄSSJÖ</t>
        </is>
      </c>
      <c r="H410" t="inlineStr">
        <is>
          <t>Sveaskog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30382-2026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46209</v>
      </c>
      <c r="E411" s="1" t="n">
        <v>46312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46312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46312</v>
      </c>
      <c r="F413" t="inlineStr">
        <is>
          <t>JÖNKÖPINGS LÄN</t>
        </is>
      </c>
      <c r="G413" t="inlineStr">
        <is>
          <t>NÄSSJÖ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46312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46312</v>
      </c>
      <c r="F415" t="inlineStr">
        <is>
          <t>JÖNKÖPINGS LÄN</t>
        </is>
      </c>
      <c r="G415" t="inlineStr">
        <is>
          <t>NÄSSJÖ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45617</v>
      </c>
      <c r="E416" s="1" t="n">
        <v>46312</v>
      </c>
      <c r="F416" t="inlineStr">
        <is>
          <t>JÖNKÖPINGS LÄN</t>
        </is>
      </c>
      <c r="G416" t="inlineStr">
        <is>
          <t>NÄSSJÖ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45190</v>
      </c>
      <c r="E417" s="1" t="n">
        <v>46312</v>
      </c>
      <c r="F417" t="inlineStr">
        <is>
          <t>JÖNKÖPINGS LÄN</t>
        </is>
      </c>
      <c r="G417" t="inlineStr">
        <is>
          <t>NÄSSJÖ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46312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44617</v>
      </c>
      <c r="E419" s="1" t="n">
        <v>46312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45163</v>
      </c>
      <c r="E420" s="1" t="n">
        <v>46312</v>
      </c>
      <c r="F420" t="inlineStr">
        <is>
          <t>JÖNKÖPINGS LÄN</t>
        </is>
      </c>
      <c r="G420" t="inlineStr">
        <is>
          <t>NÄSSJÖ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44974</v>
      </c>
      <c r="E421" s="1" t="n">
        <v>46312</v>
      </c>
      <c r="F421" t="inlineStr">
        <is>
          <t>JÖNKÖPINGS LÄN</t>
        </is>
      </c>
      <c r="G421" t="inlineStr">
        <is>
          <t>NÄSSJÖ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45109</v>
      </c>
      <c r="E422" s="1" t="n">
        <v>46312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45014</v>
      </c>
      <c r="E423" s="1" t="n">
        <v>46312</v>
      </c>
      <c r="F423" t="inlineStr">
        <is>
          <t>JÖNKÖPINGS LÄN</t>
        </is>
      </c>
      <c r="G423" t="inlineStr">
        <is>
          <t>NÄSSJÖ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46312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46312</v>
      </c>
      <c r="F425" t="inlineStr">
        <is>
          <t>JÖNKÖPINGS LÄN</t>
        </is>
      </c>
      <c r="G425" t="inlineStr">
        <is>
          <t>NÄSSJÖ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46312</v>
      </c>
      <c r="F426" t="inlineStr">
        <is>
          <t>JÖNKÖPINGS LÄN</t>
        </is>
      </c>
      <c r="G426" t="inlineStr">
        <is>
          <t>NÄSSJÖ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46312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46312</v>
      </c>
      <c r="F428" t="inlineStr">
        <is>
          <t>JÖNKÖPINGS LÄN</t>
        </is>
      </c>
      <c r="G428" t="inlineStr">
        <is>
          <t>NÄSSJÖ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41325-2022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46312</v>
      </c>
      <c r="F429" t="inlineStr">
        <is>
          <t>JÖNKÖPINGS LÄN</t>
        </is>
      </c>
      <c r="G429" t="inlineStr">
        <is>
          <t>NÄSSJÖ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28568-2026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46312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44608</v>
      </c>
      <c r="E431" s="1" t="n">
        <v>46312</v>
      </c>
      <c r="F431" t="inlineStr">
        <is>
          <t>JÖNKÖPINGS LÄN</t>
        </is>
      </c>
      <c r="G431" t="inlineStr">
        <is>
          <t>NÄSSJÖ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44976</v>
      </c>
      <c r="E432" s="1" t="n">
        <v>46312</v>
      </c>
      <c r="F432" t="inlineStr">
        <is>
          <t>JÖNKÖPINGS LÄN</t>
        </is>
      </c>
      <c r="G432" t="inlineStr">
        <is>
          <t>NÄSSJÖ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45213</v>
      </c>
      <c r="E433" s="1" t="n">
        <v>46312</v>
      </c>
      <c r="F433" t="inlineStr">
        <is>
          <t>JÖNKÖPINGS LÄN</t>
        </is>
      </c>
      <c r="G433" t="inlineStr">
        <is>
          <t>NÄSSJÖ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46312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53960-2022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46312</v>
      </c>
      <c r="F435" t="inlineStr">
        <is>
          <t>JÖNKÖPINGS LÄN</t>
        </is>
      </c>
      <c r="G435" t="inlineStr">
        <is>
          <t>NÄSSJÖ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45377</v>
      </c>
      <c r="E436" s="1" t="n">
        <v>46312</v>
      </c>
      <c r="F436" t="inlineStr">
        <is>
          <t>JÖNKÖPINGS LÄN</t>
        </is>
      </c>
      <c r="G436" t="inlineStr">
        <is>
          <t>NÄSSJÖ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15325-2022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44659</v>
      </c>
      <c r="E437" s="1" t="n">
        <v>46312</v>
      </c>
      <c r="F437" t="inlineStr">
        <is>
          <t>JÖNKÖPINGS LÄN</t>
        </is>
      </c>
      <c r="G437" t="inlineStr">
        <is>
          <t>NÄSSJÖ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46312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46312</v>
      </c>
      <c r="F439" t="inlineStr">
        <is>
          <t>JÖNKÖPINGS LÄN</t>
        </is>
      </c>
      <c r="G439" t="inlineStr">
        <is>
          <t>NÄSSJÖ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61545-2022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44916</v>
      </c>
      <c r="E440" s="1" t="n">
        <v>46312</v>
      </c>
      <c r="F440" t="inlineStr">
        <is>
          <t>JÖNKÖPINGS LÄN</t>
        </is>
      </c>
      <c r="G440" t="inlineStr">
        <is>
          <t>NÄSSJÖ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38346-2026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46282</v>
      </c>
      <c r="E441" s="1" t="n">
        <v>46312</v>
      </c>
      <c r="F441" t="inlineStr">
        <is>
          <t>JÖNKÖPINGS LÄN</t>
        </is>
      </c>
      <c r="G441" t="inlineStr">
        <is>
          <t>NÄSSJÖ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46312</v>
      </c>
      <c r="F442" t="inlineStr">
        <is>
          <t>JÖNKÖPINGS LÄN</t>
        </is>
      </c>
      <c r="G442" t="inlineStr">
        <is>
          <t>NÄSSJÖ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45579</v>
      </c>
      <c r="E443" s="1" t="n">
        <v>46312</v>
      </c>
      <c r="F443" t="inlineStr">
        <is>
          <t>JÖNKÖPINGS LÄN</t>
        </is>
      </c>
      <c r="G443" t="inlineStr">
        <is>
          <t>NÄSSJÖ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43697-2023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46312</v>
      </c>
      <c r="F444" t="inlineStr">
        <is>
          <t>JÖNKÖPINGS LÄN</t>
        </is>
      </c>
      <c r="G444" t="inlineStr">
        <is>
          <t>NÄSSJÖ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45308</v>
      </c>
      <c r="E445" s="1" t="n">
        <v>46312</v>
      </c>
      <c r="F445" t="inlineStr">
        <is>
          <t>JÖNKÖPINGS LÄN</t>
        </is>
      </c>
      <c r="G445" t="inlineStr">
        <is>
          <t>NÄSSJÖ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11120-2023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44992</v>
      </c>
      <c r="E446" s="1" t="n">
        <v>46312</v>
      </c>
      <c r="F446" t="inlineStr">
        <is>
          <t>JÖNKÖPINGS LÄN</t>
        </is>
      </c>
      <c r="G446" t="inlineStr">
        <is>
          <t>NÄSSJÖ</t>
        </is>
      </c>
      <c r="H446" t="inlineStr">
        <is>
          <t>Kommuner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46283</v>
      </c>
      <c r="E447" s="1" t="n">
        <v>46312</v>
      </c>
      <c r="F447" t="inlineStr">
        <is>
          <t>JÖNKÖPINGS LÄN</t>
        </is>
      </c>
      <c r="G447" t="inlineStr">
        <is>
          <t>NÄSSJÖ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45238</v>
      </c>
      <c r="E448" s="1" t="n">
        <v>46312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46312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63630-2023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45275</v>
      </c>
      <c r="E450" s="1" t="n">
        <v>46312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46312</v>
      </c>
      <c r="F451" t="inlineStr">
        <is>
          <t>JÖNKÖPINGS LÄN</t>
        </is>
      </c>
      <c r="G451" t="inlineStr">
        <is>
          <t>NÄSSJÖ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46243</v>
      </c>
      <c r="E452" s="1" t="n">
        <v>46312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46283</v>
      </c>
      <c r="E453" s="1" t="n">
        <v>46312</v>
      </c>
      <c r="F453" t="inlineStr">
        <is>
          <t>JÖNKÖPINGS LÄN</t>
        </is>
      </c>
      <c r="G453" t="inlineStr">
        <is>
          <t>NÄSSJÖ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46283</v>
      </c>
      <c r="E454" s="1" t="n">
        <v>46312</v>
      </c>
      <c r="F454" t="inlineStr">
        <is>
          <t>JÖNKÖPINGS LÄN</t>
        </is>
      </c>
      <c r="G454" t="inlineStr">
        <is>
          <t>NÄSSJÖ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45732</v>
      </c>
      <c r="E455" s="1" t="n">
        <v>46312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46243</v>
      </c>
      <c r="E456" s="1" t="n">
        <v>46312</v>
      </c>
      <c r="F456" t="inlineStr">
        <is>
          <t>JÖNKÖPINGS LÄN</t>
        </is>
      </c>
      <c r="G456" t="inlineStr">
        <is>
          <t>NÄSSJÖ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46312</v>
      </c>
      <c r="F457" t="inlineStr">
        <is>
          <t>JÖNKÖPINGS LÄN</t>
        </is>
      </c>
      <c r="G457" t="inlineStr">
        <is>
          <t>NÄSSJÖ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63628-2023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46312</v>
      </c>
      <c r="F458" t="inlineStr">
        <is>
          <t>JÖNKÖPINGS LÄN</t>
        </is>
      </c>
      <c r="G458" t="inlineStr">
        <is>
          <t>NÄSSJÖ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46243</v>
      </c>
      <c r="E459" s="1" t="n">
        <v>46312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46243</v>
      </c>
      <c r="E460" s="1" t="n">
        <v>46312</v>
      </c>
      <c r="F460" t="inlineStr">
        <is>
          <t>JÖNKÖPINGS LÄN</t>
        </is>
      </c>
      <c r="G460" t="inlineStr">
        <is>
          <t>NÄSSJÖ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46283</v>
      </c>
      <c r="E461" s="1" t="n">
        <v>46312</v>
      </c>
      <c r="F461" t="inlineStr">
        <is>
          <t>JÖNKÖPINGS LÄN</t>
        </is>
      </c>
      <c r="G461" t="inlineStr">
        <is>
          <t>NÄSSJÖ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28340-2023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45099</v>
      </c>
      <c r="E462" s="1" t="n">
        <v>46312</v>
      </c>
      <c r="F462" t="inlineStr">
        <is>
          <t>JÖNKÖPINGS LÄN</t>
        </is>
      </c>
      <c r="G462" t="inlineStr">
        <is>
          <t>NÄSSJÖ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45056</v>
      </c>
      <c r="E463" s="1" t="n">
        <v>46312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46246</v>
      </c>
      <c r="E464" s="1" t="n">
        <v>46312</v>
      </c>
      <c r="F464" t="inlineStr">
        <is>
          <t>JÖNKÖPINGS LÄN</t>
        </is>
      </c>
      <c r="G464" t="inlineStr">
        <is>
          <t>NÄSSJÖ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53962-2024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45616</v>
      </c>
      <c r="E465" s="1" t="n">
        <v>46312</v>
      </c>
      <c r="F465" t="inlineStr">
        <is>
          <t>JÖNKÖPINGS LÄN</t>
        </is>
      </c>
      <c r="G465" t="inlineStr">
        <is>
          <t>NÄSSJÖ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15993-2022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44665</v>
      </c>
      <c r="E466" s="1" t="n">
        <v>46312</v>
      </c>
      <c r="F466" t="inlineStr">
        <is>
          <t>JÖNKÖPINGS LÄN</t>
        </is>
      </c>
      <c r="G466" t="inlineStr">
        <is>
          <t>NÄSSJÖ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46580-2022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46312</v>
      </c>
      <c r="F467" t="inlineStr">
        <is>
          <t>JÖNKÖPINGS LÄN</t>
        </is>
      </c>
      <c r="G467" t="inlineStr">
        <is>
          <t>NÄSSJÖ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46312</v>
      </c>
      <c r="F468" t="inlineStr">
        <is>
          <t>JÖNKÖPINGS LÄN</t>
        </is>
      </c>
      <c r="G468" t="inlineStr">
        <is>
          <t>NÄSSJÖ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46312</v>
      </c>
      <c r="F469" t="inlineStr">
        <is>
          <t>JÖNKÖPINGS LÄN</t>
        </is>
      </c>
      <c r="G469" t="inlineStr">
        <is>
          <t>NÄSSJÖ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44874</v>
      </c>
      <c r="E470" s="1" t="n">
        <v>46312</v>
      </c>
      <c r="F470" t="inlineStr">
        <is>
          <t>JÖNKÖPINGS LÄN</t>
        </is>
      </c>
      <c r="G470" t="inlineStr">
        <is>
          <t>NÄSSJÖ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45273</v>
      </c>
      <c r="E471" s="1" t="n">
        <v>46312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46312</v>
      </c>
      <c r="F472" t="inlineStr">
        <is>
          <t>JÖNKÖPINGS LÄN</t>
        </is>
      </c>
      <c r="G472" t="inlineStr">
        <is>
          <t>NÄSSJÖ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46312</v>
      </c>
      <c r="F473" t="inlineStr">
        <is>
          <t>JÖNKÖPINGS LÄN</t>
        </is>
      </c>
      <c r="G473" t="inlineStr">
        <is>
          <t>NÄSSJÖ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46312</v>
      </c>
      <c r="F474" t="inlineStr">
        <is>
          <t>JÖNKÖPINGS LÄN</t>
        </is>
      </c>
      <c r="G474" t="inlineStr">
        <is>
          <t>NÄSSJÖ</t>
        </is>
      </c>
      <c r="H474" t="inlineStr">
        <is>
          <t>Kyrkan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39740-2026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46289</v>
      </c>
      <c r="E475" s="1" t="n">
        <v>46312</v>
      </c>
      <c r="F475" t="inlineStr">
        <is>
          <t>JÖNKÖPINGS LÄN</t>
        </is>
      </c>
      <c r="G475" t="inlineStr">
        <is>
          <t>NÄSSJÖ</t>
        </is>
      </c>
      <c r="H475" t="inlineStr">
        <is>
          <t>Kyrkan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46312</v>
      </c>
      <c r="F476" t="inlineStr">
        <is>
          <t>JÖNKÖPINGS LÄN</t>
        </is>
      </c>
      <c r="G476" t="inlineStr">
        <is>
          <t>NÄSSJÖ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46312</v>
      </c>
      <c r="F477" t="inlineStr">
        <is>
          <t>JÖNKÖPINGS LÄN</t>
        </is>
      </c>
      <c r="G477" t="inlineStr">
        <is>
          <t>NÄSSJÖ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46312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44603</v>
      </c>
      <c r="E479" s="1" t="n">
        <v>46312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46312</v>
      </c>
      <c r="F480" t="inlineStr">
        <is>
          <t>JÖNKÖPINGS LÄN</t>
        </is>
      </c>
      <c r="G480" t="inlineStr">
        <is>
          <t>NÄSSJÖ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45316</v>
      </c>
      <c r="E481" s="1" t="n">
        <v>46312</v>
      </c>
      <c r="F481" t="inlineStr">
        <is>
          <t>JÖNKÖPINGS LÄN</t>
        </is>
      </c>
      <c r="G481" t="inlineStr">
        <is>
          <t>NÄSSJÖ</t>
        </is>
      </c>
      <c r="H481" t="inlineStr">
        <is>
          <t>Kyrkan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46249</v>
      </c>
      <c r="E482" s="1" t="n">
        <v>46312</v>
      </c>
      <c r="F482" t="inlineStr">
        <is>
          <t>JÖNKÖPINGS LÄN</t>
        </is>
      </c>
      <c r="G482" t="inlineStr">
        <is>
          <t>NÄSSJÖ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58533-2022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44902</v>
      </c>
      <c r="E483" s="1" t="n">
        <v>46312</v>
      </c>
      <c r="F483" t="inlineStr">
        <is>
          <t>JÖNKÖPINGS LÄN</t>
        </is>
      </c>
      <c r="G483" t="inlineStr">
        <is>
          <t>NÄSSJÖ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58553-2022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44902</v>
      </c>
      <c r="E484" s="1" t="n">
        <v>46312</v>
      </c>
      <c r="F484" t="inlineStr">
        <is>
          <t>JÖNKÖPINGS LÄN</t>
        </is>
      </c>
      <c r="G484" t="inlineStr">
        <is>
          <t>NÄSSJÖ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46294</v>
      </c>
      <c r="E485" s="1" t="n">
        <v>46312</v>
      </c>
      <c r="F485" t="inlineStr">
        <is>
          <t>JÖNKÖPINGS LÄN</t>
        </is>
      </c>
      <c r="G485" t="inlineStr">
        <is>
          <t>NÄSSJÖ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40543-2026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46295</v>
      </c>
      <c r="E486" s="1" t="n">
        <v>46312</v>
      </c>
      <c r="F486" t="inlineStr">
        <is>
          <t>JÖNKÖPINGS LÄN</t>
        </is>
      </c>
      <c r="G486" t="inlineStr">
        <is>
          <t>NÄSSJÖ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46312</v>
      </c>
      <c r="F487" t="inlineStr">
        <is>
          <t>JÖNKÖPINGS LÄN</t>
        </is>
      </c>
      <c r="G487" t="inlineStr">
        <is>
          <t>NÄSSJÖ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46312</v>
      </c>
      <c r="F488" t="inlineStr">
        <is>
          <t>JÖNKÖPINGS LÄN</t>
        </is>
      </c>
      <c r="G488" t="inlineStr">
        <is>
          <t>NÄSSJÖ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46294</v>
      </c>
      <c r="E489" s="1" t="n">
        <v>46312</v>
      </c>
      <c r="F489" t="inlineStr">
        <is>
          <t>JÖNKÖPINGS LÄN</t>
        </is>
      </c>
      <c r="G489" t="inlineStr">
        <is>
          <t>NÄSSJÖ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45109</v>
      </c>
      <c r="E490" s="1" t="n">
        <v>46312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50734-2024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46312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4327-2025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46312</v>
      </c>
      <c r="F492" t="inlineStr">
        <is>
          <t>JÖNKÖPINGS LÄN</t>
        </is>
      </c>
      <c r="G492" t="inlineStr">
        <is>
          <t>NÄSSJÖ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46248</v>
      </c>
      <c r="E493" s="1" t="n">
        <v>46312</v>
      </c>
      <c r="F493" t="inlineStr">
        <is>
          <t>JÖNKÖPINGS LÄN</t>
        </is>
      </c>
      <c r="G493" t="inlineStr">
        <is>
          <t>NÄSSJÖ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40539-2026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46295</v>
      </c>
      <c r="E494" s="1" t="n">
        <v>46312</v>
      </c>
      <c r="F494" t="inlineStr">
        <is>
          <t>JÖNKÖPINGS LÄN</t>
        </is>
      </c>
      <c r="G494" t="inlineStr">
        <is>
          <t>NÄSSJÖ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40545-2026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46295</v>
      </c>
      <c r="E495" s="1" t="n">
        <v>46312</v>
      </c>
      <c r="F495" t="inlineStr">
        <is>
          <t>JÖNKÖPINGS LÄN</t>
        </is>
      </c>
      <c r="G495" t="inlineStr">
        <is>
          <t>NÄSSJÖ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40332-2026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46294</v>
      </c>
      <c r="E496" s="1" t="n">
        <v>46312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40541-2026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46295</v>
      </c>
      <c r="E497" s="1" t="n">
        <v>46312</v>
      </c>
      <c r="F497" t="inlineStr">
        <is>
          <t>JÖNKÖPINGS LÄN</t>
        </is>
      </c>
      <c r="G497" t="inlineStr">
        <is>
          <t>NÄSSJÖ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45702</v>
      </c>
      <c r="E498" s="1" t="n">
        <v>46312</v>
      </c>
      <c r="F498" t="inlineStr">
        <is>
          <t>JÖNKÖPINGS LÄN</t>
        </is>
      </c>
      <c r="G498" t="inlineStr">
        <is>
          <t>NÄSSJÖ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7158-2025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45702</v>
      </c>
      <c r="E499" s="1" t="n">
        <v>46312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46312</v>
      </c>
      <c r="F500" t="inlineStr">
        <is>
          <t>JÖNKÖPINGS LÄN</t>
        </is>
      </c>
      <c r="G500" t="inlineStr">
        <is>
          <t>NÄSSJÖ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44965</v>
      </c>
      <c r="E501" s="1" t="n">
        <v>46312</v>
      </c>
      <c r="F501" t="inlineStr">
        <is>
          <t>JÖNKÖPINGS LÄN</t>
        </is>
      </c>
      <c r="G501" t="inlineStr">
        <is>
          <t>NÄSSJÖ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45551</v>
      </c>
      <c r="E502" s="1" t="n">
        <v>46312</v>
      </c>
      <c r="F502" t="inlineStr">
        <is>
          <t>JÖNKÖPINGS LÄN</t>
        </is>
      </c>
      <c r="G502" t="inlineStr">
        <is>
          <t>NÄSSJÖ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46312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45275</v>
      </c>
      <c r="E504" s="1" t="n">
        <v>46312</v>
      </c>
      <c r="F504" t="inlineStr">
        <is>
          <t>JÖNKÖPINGS LÄN</t>
        </is>
      </c>
      <c r="G504" t="inlineStr">
        <is>
          <t>NÄSSJÖ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45277</v>
      </c>
      <c r="E505" s="1" t="n">
        <v>46312</v>
      </c>
      <c r="F505" t="inlineStr">
        <is>
          <t>JÖNKÖPINGS LÄN</t>
        </is>
      </c>
      <c r="G505" t="inlineStr">
        <is>
          <t>NÄSSJÖ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45611</v>
      </c>
      <c r="E506" s="1" t="n">
        <v>46312</v>
      </c>
      <c r="F506" t="inlineStr">
        <is>
          <t>JÖNKÖPINGS LÄN</t>
        </is>
      </c>
      <c r="G506" t="inlineStr">
        <is>
          <t>NÄSSJÖ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45776</v>
      </c>
      <c r="E507" s="1" t="n">
        <v>46312</v>
      </c>
      <c r="F507" t="inlineStr">
        <is>
          <t>JÖNKÖPINGS LÄN</t>
        </is>
      </c>
      <c r="G507" t="inlineStr">
        <is>
          <t>NÄSSJÖ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46312</v>
      </c>
      <c r="F508" t="inlineStr">
        <is>
          <t>JÖNKÖPINGS LÄN</t>
        </is>
      </c>
      <c r="G508" t="inlineStr">
        <is>
          <t>NÄSSJÖ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34687-2026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46312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46312</v>
      </c>
      <c r="F510" t="inlineStr">
        <is>
          <t>JÖNKÖPINGS LÄN</t>
        </is>
      </c>
      <c r="G510" t="inlineStr">
        <is>
          <t>NÄSSJÖ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46312</v>
      </c>
      <c r="F511" t="inlineStr">
        <is>
          <t>JÖNKÖPINGS LÄN</t>
        </is>
      </c>
      <c r="G511" t="inlineStr">
        <is>
          <t>NÄSSJÖ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46312</v>
      </c>
      <c r="F512" t="inlineStr">
        <is>
          <t>JÖNKÖPINGS LÄN</t>
        </is>
      </c>
      <c r="G512" t="inlineStr">
        <is>
          <t>NÄSSJÖ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45599</v>
      </c>
      <c r="E513" s="1" t="n">
        <v>46312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35248-2026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46260</v>
      </c>
      <c r="E514" s="1" t="n">
        <v>46312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7175-2022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44605</v>
      </c>
      <c r="E515" s="1" t="n">
        <v>46312</v>
      </c>
      <c r="F515" t="inlineStr">
        <is>
          <t>JÖNKÖPINGS LÄN</t>
        </is>
      </c>
      <c r="G515" t="inlineStr">
        <is>
          <t>NÄSSJÖ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46312</v>
      </c>
      <c r="F516" t="inlineStr">
        <is>
          <t>JÖNKÖPINGS LÄN</t>
        </is>
      </c>
      <c r="G516" t="inlineStr">
        <is>
          <t>NÄSSJÖ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45320</v>
      </c>
      <c r="E517" s="1" t="n">
        <v>46312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47008-2024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45586</v>
      </c>
      <c r="E518" s="1" t="n">
        <v>46312</v>
      </c>
      <c r="F518" t="inlineStr">
        <is>
          <t>JÖNKÖPINGS LÄN</t>
        </is>
      </c>
      <c r="G518" t="inlineStr">
        <is>
          <t>NÄSSJÖ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46312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46312</v>
      </c>
      <c r="F520" t="inlineStr">
        <is>
          <t>JÖNKÖPINGS LÄN</t>
        </is>
      </c>
      <c r="G520" t="inlineStr">
        <is>
          <t>NÄSSJÖ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46312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46312</v>
      </c>
      <c r="F522" t="inlineStr">
        <is>
          <t>JÖNKÖPINGS LÄN</t>
        </is>
      </c>
      <c r="G522" t="inlineStr">
        <is>
          <t>NÄSSJÖ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39095-2026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46312</v>
      </c>
      <c r="F523" t="inlineStr">
        <is>
          <t>JÖNKÖPINGS LÄN</t>
        </is>
      </c>
      <c r="G523" t="inlineStr">
        <is>
          <t>NÄSSJÖ</t>
        </is>
      </c>
      <c r="H523" t="inlineStr">
        <is>
          <t>Kyrkan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45795</v>
      </c>
      <c r="E524" s="1" t="n">
        <v>46312</v>
      </c>
      <c r="F524" t="inlineStr">
        <is>
          <t>JÖNKÖPINGS LÄN</t>
        </is>
      </c>
      <c r="G524" t="inlineStr">
        <is>
          <t>NÄSSJÖ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60724-2023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46312</v>
      </c>
      <c r="F525" t="inlineStr">
        <is>
          <t>JÖNKÖPINGS LÄN</t>
        </is>
      </c>
      <c r="G525" t="inlineStr">
        <is>
          <t>NÄSSJÖ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45795</v>
      </c>
      <c r="E526" s="1" t="n">
        <v>46312</v>
      </c>
      <c r="F526" t="inlineStr">
        <is>
          <t>JÖNKÖPINGS LÄN</t>
        </is>
      </c>
      <c r="G526" t="inlineStr">
        <is>
          <t>NÄSSJÖ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45728</v>
      </c>
      <c r="E527" s="1" t="n">
        <v>46312</v>
      </c>
      <c r="F527" t="inlineStr">
        <is>
          <t>JÖNKÖPINGS LÄN</t>
        </is>
      </c>
      <c r="G527" t="inlineStr">
        <is>
          <t>NÄSSJÖ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45742</v>
      </c>
      <c r="E528" s="1" t="n">
        <v>46312</v>
      </c>
      <c r="F528" t="inlineStr">
        <is>
          <t>JÖNKÖPINGS LÄN</t>
        </is>
      </c>
      <c r="G528" t="inlineStr">
        <is>
          <t>NÄSSJÖ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45356</v>
      </c>
      <c r="E529" s="1" t="n">
        <v>46312</v>
      </c>
      <c r="F529" t="inlineStr">
        <is>
          <t>JÖNKÖPINGS LÄN</t>
        </is>
      </c>
      <c r="G529" t="inlineStr">
        <is>
          <t>NÄSSJÖ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12710-2025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46312</v>
      </c>
      <c r="F530" t="inlineStr">
        <is>
          <t>JÖNKÖPINGS LÄN</t>
        </is>
      </c>
      <c r="G530" t="inlineStr">
        <is>
          <t>NÄSSJÖ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46307</v>
      </c>
      <c r="E531" s="1" t="n">
        <v>46312</v>
      </c>
      <c r="F531" t="inlineStr">
        <is>
          <t>JÖNKÖPINGS LÄN</t>
        </is>
      </c>
      <c r="G531" t="inlineStr">
        <is>
          <t>NÄSSJÖ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46312</v>
      </c>
      <c r="F532" t="inlineStr">
        <is>
          <t>JÖNKÖPINGS LÄN</t>
        </is>
      </c>
      <c r="G532" t="inlineStr">
        <is>
          <t>NÄSSJÖ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45729</v>
      </c>
      <c r="E533" s="1" t="n">
        <v>46312</v>
      </c>
      <c r="F533" t="inlineStr">
        <is>
          <t>JÖNKÖPINGS LÄN</t>
        </is>
      </c>
      <c r="G533" t="inlineStr">
        <is>
          <t>NÄSSJÖ</t>
        </is>
      </c>
      <c r="I533" t="n">
        <v>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45267</v>
      </c>
      <c r="E534" s="1" t="n">
        <v>46312</v>
      </c>
      <c r="F534" t="inlineStr">
        <is>
          <t>JÖNKÖPINGS LÄN</t>
        </is>
      </c>
      <c r="G534" t="inlineStr">
        <is>
          <t>NÄSSJÖ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46309</v>
      </c>
      <c r="E535" s="1" t="n">
        <v>46312</v>
      </c>
      <c r="F535" t="inlineStr">
        <is>
          <t>JÖNKÖPINGS LÄN</t>
        </is>
      </c>
      <c r="G535" t="inlineStr">
        <is>
          <t>NÄSSJÖ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45818</v>
      </c>
      <c r="E536" s="1" t="n">
        <v>46312</v>
      </c>
      <c r="F536" t="inlineStr">
        <is>
          <t>JÖNKÖPINGS LÄN</t>
        </is>
      </c>
      <c r="G536" t="inlineStr">
        <is>
          <t>NÄSSJÖ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46312</v>
      </c>
      <c r="F537" t="inlineStr">
        <is>
          <t>JÖNKÖPINGS LÄN</t>
        </is>
      </c>
      <c r="G537" t="inlineStr">
        <is>
          <t>NÄSSJÖ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45818</v>
      </c>
      <c r="E538" s="1" t="n">
        <v>46312</v>
      </c>
      <c r="F538" t="inlineStr">
        <is>
          <t>JÖNKÖPINGS LÄN</t>
        </is>
      </c>
      <c r="G538" t="inlineStr">
        <is>
          <t>NÄSSJÖ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46312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29184-2025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45821</v>
      </c>
      <c r="E540" s="1" t="n">
        <v>46312</v>
      </c>
      <c r="F540" t="inlineStr">
        <is>
          <t>JÖNKÖPINGS LÄN</t>
        </is>
      </c>
      <c r="G540" t="inlineStr">
        <is>
          <t>NÄSSJÖ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45824</v>
      </c>
      <c r="E541" s="1" t="n">
        <v>46312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46312</v>
      </c>
      <c r="F542" t="inlineStr">
        <is>
          <t>JÖNKÖPINGS LÄN</t>
        </is>
      </c>
      <c r="G542" t="inlineStr">
        <is>
          <t>NÄSSJÖ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45824</v>
      </c>
      <c r="E543" s="1" t="n">
        <v>46312</v>
      </c>
      <c r="F543" t="inlineStr">
        <is>
          <t>JÖNKÖPINGS LÄN</t>
        </is>
      </c>
      <c r="G543" t="inlineStr">
        <is>
          <t>NÄSSJÖ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39211-2026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46287</v>
      </c>
      <c r="E544" s="1" t="n">
        <v>46312</v>
      </c>
      <c r="F544" t="inlineStr">
        <is>
          <t>JÖNKÖPINGS LÄN</t>
        </is>
      </c>
      <c r="G544" t="inlineStr">
        <is>
          <t>NÄSSJÖ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45794</v>
      </c>
      <c r="E545" s="1" t="n">
        <v>46312</v>
      </c>
      <c r="F545" t="inlineStr">
        <is>
          <t>JÖNKÖPINGS LÄN</t>
        </is>
      </c>
      <c r="G545" t="inlineStr">
        <is>
          <t>NÄSSJÖ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45841</v>
      </c>
      <c r="E546" s="1" t="n">
        <v>46312</v>
      </c>
      <c r="F546" t="inlineStr">
        <is>
          <t>JÖNKÖPINGS LÄN</t>
        </is>
      </c>
      <c r="G546" t="inlineStr">
        <is>
          <t>NÄSSJÖ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45841</v>
      </c>
      <c r="E547" s="1" t="n">
        <v>46312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45843</v>
      </c>
      <c r="E548" s="1" t="n">
        <v>46312</v>
      </c>
      <c r="F548" t="inlineStr">
        <is>
          <t>JÖNKÖPINGS LÄN</t>
        </is>
      </c>
      <c r="G548" t="inlineStr">
        <is>
          <t>NÄSSJÖ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45843</v>
      </c>
      <c r="E549" s="1" t="n">
        <v>46312</v>
      </c>
      <c r="F549" t="inlineStr">
        <is>
          <t>JÖNKÖPINGS LÄN</t>
        </is>
      </c>
      <c r="G549" t="inlineStr">
        <is>
          <t>NÄSSJÖ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33979-2025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45843</v>
      </c>
      <c r="E550" s="1" t="n">
        <v>46312</v>
      </c>
      <c r="F550" t="inlineStr">
        <is>
          <t>JÖNKÖPINGS LÄN</t>
        </is>
      </c>
      <c r="G550" t="inlineStr">
        <is>
          <t>NÄSSJÖ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45747</v>
      </c>
      <c r="E551" s="1" t="n">
        <v>46312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46312</v>
      </c>
      <c r="F552" t="inlineStr">
        <is>
          <t>JÖNKÖPINGS LÄN</t>
        </is>
      </c>
      <c r="G552" t="inlineStr">
        <is>
          <t>NÄSSJÖ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9943-2025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45719</v>
      </c>
      <c r="E553" s="1" t="n">
        <v>46312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45721</v>
      </c>
      <c r="E554" s="1" t="n">
        <v>46312</v>
      </c>
      <c r="F554" t="inlineStr">
        <is>
          <t>JÖNKÖPINGS LÄN</t>
        </is>
      </c>
      <c r="G554" t="inlineStr">
        <is>
          <t>NÄSSJÖ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12593-2025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45732</v>
      </c>
      <c r="E555" s="1" t="n">
        <v>46312</v>
      </c>
      <c r="F555" t="inlineStr">
        <is>
          <t>JÖNKÖPINGS LÄN</t>
        </is>
      </c>
      <c r="G555" t="inlineStr">
        <is>
          <t>NÄSSJÖ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45713</v>
      </c>
      <c r="E556" s="1" t="n">
        <v>46312</v>
      </c>
      <c r="F556" t="inlineStr">
        <is>
          <t>JÖNKÖPINGS LÄN</t>
        </is>
      </c>
      <c r="G556" t="inlineStr">
        <is>
          <t>NÄSSJÖ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46312</v>
      </c>
      <c r="F557" t="inlineStr">
        <is>
          <t>JÖNKÖPINGS LÄN</t>
        </is>
      </c>
      <c r="G557" t="inlineStr">
        <is>
          <t>NÄSSJÖ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46312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46312</v>
      </c>
      <c r="F559" t="inlineStr">
        <is>
          <t>JÖNKÖPINGS LÄN</t>
        </is>
      </c>
      <c r="G559" t="inlineStr">
        <is>
          <t>NÄSSJÖ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37767-2025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46312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46312</v>
      </c>
      <c r="F561" t="inlineStr">
        <is>
          <t>JÖNKÖPINGS LÄN</t>
        </is>
      </c>
      <c r="G561" t="inlineStr">
        <is>
          <t>NÄSSJÖ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2371-2023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45109</v>
      </c>
      <c r="E562" s="1" t="n">
        <v>46312</v>
      </c>
      <c r="F562" t="inlineStr">
        <is>
          <t>JÖNKÖPINGS LÄN</t>
        </is>
      </c>
      <c r="G562" t="inlineStr">
        <is>
          <t>NÄSSJÖ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46312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1405-2023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45042</v>
      </c>
      <c r="E564" s="1" t="n">
        <v>46312</v>
      </c>
      <c r="F564" t="inlineStr">
        <is>
          <t>JÖNKÖPINGS LÄN</t>
        </is>
      </c>
      <c r="G564" t="inlineStr">
        <is>
          <t>NÄSSJÖ</t>
        </is>
      </c>
      <c r="I564" t="n">
        <v>26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2094-2024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45453</v>
      </c>
      <c r="E565" s="1" t="n">
        <v>46312</v>
      </c>
      <c r="F565" t="inlineStr">
        <is>
          <t>JÖNKÖPINGS LÄN</t>
        </is>
      </c>
      <c r="G565" t="inlineStr">
        <is>
          <t>NÄSSJÖ</t>
        </is>
      </c>
      <c r="I565" t="n">
        <v>37.7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1381-2024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45411</v>
      </c>
      <c r="E566" s="1" t="n">
        <v>46312</v>
      </c>
      <c r="F566" t="inlineStr">
        <is>
          <t>JÖNKÖPINGS LÄN</t>
        </is>
      </c>
      <c r="G566" t="inlineStr">
        <is>
          <t>NÄSSJÖ</t>
        </is>
      </c>
      <c r="I566" t="n">
        <v>26.6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45029</v>
      </c>
      <c r="E567" s="1" t="n">
        <v>46312</v>
      </c>
      <c r="F567" t="inlineStr">
        <is>
          <t>JÖNKÖPINGS LÄN</t>
        </is>
      </c>
      <c r="G567" t="inlineStr">
        <is>
          <t>NÄSSJÖ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2470-2023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45118</v>
      </c>
      <c r="E568" s="1" t="n">
        <v>46312</v>
      </c>
      <c r="F568" t="inlineStr">
        <is>
          <t>JÖNKÖPINGS LÄN</t>
        </is>
      </c>
      <c r="G568" t="inlineStr">
        <is>
          <t>NÄSSJÖ</t>
        </is>
      </c>
      <c r="I568" t="n">
        <v>20.8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1950-2023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45082</v>
      </c>
      <c r="E569" s="1" t="n">
        <v>46312</v>
      </c>
      <c r="F569" t="inlineStr">
        <is>
          <t>JÖNKÖPINGS LÄN</t>
        </is>
      </c>
      <c r="G569" t="inlineStr">
        <is>
          <t>NÄSSJÖ</t>
        </is>
      </c>
      <c r="I569" t="n">
        <v>12.6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2411-2023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45112</v>
      </c>
      <c r="E570" s="1" t="n">
        <v>46312</v>
      </c>
      <c r="F570" t="inlineStr">
        <is>
          <t>JÖNKÖPINGS LÄN</t>
        </is>
      </c>
      <c r="G570" t="inlineStr">
        <is>
          <t>NÄSSJÖ</t>
        </is>
      </c>
      <c r="I570" t="n">
        <v>22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654-2023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44977</v>
      </c>
      <c r="E571" s="1" t="n">
        <v>46312</v>
      </c>
      <c r="F571" t="inlineStr">
        <is>
          <t>JÖNKÖPINGS LÄN</t>
        </is>
      </c>
      <c r="G571" t="inlineStr">
        <is>
          <t>NÄSSJÖ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46312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46312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46312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46312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46312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46312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46312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46312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46312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46312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46312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46312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46312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46312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46312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2026-10-17T02:06:30Z</dcterms:created>
  <dcterms:modified xmlns:dcterms="http://purl.org/dc/terms/" xmlns:xsi="http://www.w3.org/2001/XMLSchema-instance" xsi:type="dcterms:W3CDTF">2026-10-17T02:06:30Z</dcterms:modified>
</cp:coreProperties>
</file>