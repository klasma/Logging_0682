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46226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46226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46226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46226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46226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46226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46226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46226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46226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46226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46226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46226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46226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46226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46226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46226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46226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46226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46226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46226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27215-2023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45096</v>
      </c>
      <c r="E28" s="1" t="n">
        <v>46226</v>
      </c>
      <c r="F28" t="inlineStr">
        <is>
          <t>JÖNKÖPINGS LÄN</t>
        </is>
      </c>
      <c r="G28" t="inlineStr">
        <is>
          <t>NÄSSJÖ</t>
        </is>
      </c>
      <c r="I28" t="n">
        <v>13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HYPERLINK("https://klasma.github.io/Logging_0682/artfynd/A 27215-2023 artfynd.xlsx", "A 27215-2023")</f>
        <v/>
      </c>
      <c r="X28">
        <f>HYPERLINK("https://klasma.github.io/Logging_0682/kartor/A 27215-2023 karta.png", "A 27215-2023")</f>
        <v/>
      </c>
      <c r="Y28">
        <f>HYPERLINK("https://klasma.github.io/Logging_0682/kartor_geotiff/A 27215-2023 georefererad karta.tif", "A 27215-2023")</f>
        <v/>
      </c>
      <c r="AA28">
        <f>HYPERLINK("https://klasma.github.io/Logging_0682/klagomål/A 27215-2023 FSC-klagomål.docx", "A 27215-2023")</f>
        <v/>
      </c>
      <c r="AB28">
        <f>HYPERLINK("https://klasma.github.io/Logging_0682/klagomålsmail/A 27215-2023 FSC-klagomål mail.docx", "A 27215-2023")</f>
        <v/>
      </c>
      <c r="AC28">
        <f>HYPERLINK("https://klasma.github.io/Logging_0682/tillsyn/A 27215-2023 tillsynsbegäran.docx", "A 27215-2023")</f>
        <v/>
      </c>
      <c r="AD28">
        <f>HYPERLINK("https://klasma.github.io/Logging_0682/tillsynsmail/A 27215-2023 tillsynsbegäran mail.docx", "A 27215-2023")</f>
        <v/>
      </c>
      <c r="AE28">
        <f>HYPERLINK("https://klasma.github.io/Logging_0682/fåglar/A 27215-2023 prioriterade fågelarter.docx", "A 27215-2023")</f>
        <v/>
      </c>
    </row>
    <row r="29" ht="15" customHeight="1">
      <c r="A29" t="inlineStr">
        <is>
          <t>A 15048-2026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46226</v>
      </c>
      <c r="F29" t="inlineStr">
        <is>
          <t>JÖNKÖPINGS LÄN</t>
        </is>
      </c>
      <c r="G29" t="inlineStr">
        <is>
          <t>NÄSSJÖ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15048-2026 artfynd.xlsx", "A 15048-2026")</f>
        <v/>
      </c>
      <c r="X29">
        <f>HYPERLINK("https://klasma.github.io/Logging_0682/kartor/A 15048-2026 karta.png", "A 15048-2026")</f>
        <v/>
      </c>
      <c r="Y29">
        <f>HYPERLINK("https://klasma.github.io/Logging_0682/kartor_geotiff/A 15048-2026 georefererad karta.tif", "A 15048-2026")</f>
        <v/>
      </c>
      <c r="AA29">
        <f>HYPERLINK("https://klasma.github.io/Logging_0682/klagomål/A 15048-2026 FSC-klagomål.docx", "A 15048-2026")</f>
        <v/>
      </c>
      <c r="AB29">
        <f>HYPERLINK("https://klasma.github.io/Logging_0682/klagomålsmail/A 15048-2026 FSC-klagomål mail.docx", "A 15048-2026")</f>
        <v/>
      </c>
      <c r="AC29">
        <f>HYPERLINK("https://klasma.github.io/Logging_0682/tillsyn/A 15048-2026 tillsynsbegäran.docx", "A 15048-2026")</f>
        <v/>
      </c>
      <c r="AD29">
        <f>HYPERLINK("https://klasma.github.io/Logging_0682/tillsynsmail/A 15048-2026 tillsynsbegäran mail.docx", "A 15048-2026")</f>
        <v/>
      </c>
    </row>
    <row r="30" ht="15" customHeight="1">
      <c r="A30" t="inlineStr">
        <is>
          <t>A 15845-2026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46107</v>
      </c>
      <c r="E30" s="1" t="n">
        <v>46226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HYPERLINK("https://klasma.github.io/Logging_0682/artfynd/A 15845-2026 artfynd.xlsx", "A 15845-2026")</f>
        <v/>
      </c>
      <c r="X30">
        <f>HYPERLINK("https://klasma.github.io/Logging_0682/kartor/A 15845-2026 karta.png", "A 15845-2026")</f>
        <v/>
      </c>
      <c r="Y30">
        <f>HYPERLINK("https://klasma.github.io/Logging_0682/kartor_geotiff/A 15845-2026 georefererad karta.tif", "A 15845-2026")</f>
        <v/>
      </c>
      <c r="AA30">
        <f>HYPERLINK("https://klasma.github.io/Logging_0682/klagomål/A 15845-2026 FSC-klagomål.docx", "A 15845-2026")</f>
        <v/>
      </c>
      <c r="AB30">
        <f>HYPERLINK("https://klasma.github.io/Logging_0682/klagomålsmail/A 15845-2026 FSC-klagomål mail.docx", "A 15845-2026")</f>
        <v/>
      </c>
      <c r="AC30">
        <f>HYPERLINK("https://klasma.github.io/Logging_0682/tillsyn/A 15845-2026 tillsynsbegäran.docx", "A 15845-2026")</f>
        <v/>
      </c>
      <c r="AD30">
        <f>HYPERLINK("https://klasma.github.io/Logging_0682/tillsynsmail/A 15845-2026 tillsynsbegäran mail.docx", "A 15845-2026")</f>
        <v/>
      </c>
      <c r="AE30">
        <f>HYPERLINK("https://klasma.github.io/Logging_0682/fåglar/A 15845-2026 prioriterade fågelarter.docx", "A 15845-2026")</f>
        <v/>
      </c>
    </row>
    <row r="31" ht="15" customHeight="1">
      <c r="A31" t="inlineStr">
        <is>
          <t>A 18844-2026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46226</v>
      </c>
      <c r="F31" t="inlineStr">
        <is>
          <t>JÖNKÖPINGS LÄN</t>
        </is>
      </c>
      <c r="G31" t="inlineStr">
        <is>
          <t>NÄSSJÖ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18844-2026 artfynd.xlsx", "A 18844-2026")</f>
        <v/>
      </c>
      <c r="X31">
        <f>HYPERLINK("https://klasma.github.io/Logging_0682/kartor/A 18844-2026 karta.png", "A 18844-2026")</f>
        <v/>
      </c>
      <c r="Y31">
        <f>HYPERLINK("https://klasma.github.io/Logging_0682/kartor_geotiff/A 18844-2026 georefererad karta.tif", "A 18844-2026")</f>
        <v/>
      </c>
      <c r="AA31">
        <f>HYPERLINK("https://klasma.github.io/Logging_0682/klagomål/A 18844-2026 FSC-klagomål.docx", "A 18844-2026")</f>
        <v/>
      </c>
      <c r="AB31">
        <f>HYPERLINK("https://klasma.github.io/Logging_0682/klagomålsmail/A 18844-2026 FSC-klagomål mail.docx", "A 18844-2026")</f>
        <v/>
      </c>
      <c r="AC31">
        <f>HYPERLINK("https://klasma.github.io/Logging_0682/tillsyn/A 18844-2026 tillsynsbegäran.docx", "A 18844-2026")</f>
        <v/>
      </c>
      <c r="AD31">
        <f>HYPERLINK("https://klasma.github.io/Logging_0682/tillsynsmail/A 18844-2026 tillsynsbegäran mail.docx", "A 18844-2026")</f>
        <v/>
      </c>
    </row>
    <row r="32" ht="15" customHeight="1">
      <c r="A32" t="inlineStr">
        <is>
          <t>A 33414-2025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46226</v>
      </c>
      <c r="F32" t="inlineStr">
        <is>
          <t>JÖNKÖPINGS LÄN</t>
        </is>
      </c>
      <c r="G32" t="inlineStr">
        <is>
          <t>NÄSSJÖ</t>
        </is>
      </c>
      <c r="I32" t="n">
        <v>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Rhithrogena germanica</t>
        </is>
      </c>
      <c r="W32">
        <f>HYPERLINK("https://klasma.github.io/Logging_0682/artfynd/A 33414-2025 artfynd.xlsx", "A 33414-2025")</f>
        <v/>
      </c>
      <c r="X32">
        <f>HYPERLINK("https://klasma.github.io/Logging_0682/kartor/A 33414-2025 karta.png", "A 33414-2025")</f>
        <v/>
      </c>
      <c r="Y32">
        <f>HYPERLINK("https://klasma.github.io/Logging_0682/kartor_geotiff/A 33414-2025 georefererad karta.tif", "A 33414-2025")</f>
        <v/>
      </c>
      <c r="AA32">
        <f>HYPERLINK("https://klasma.github.io/Logging_0682/klagomål/A 33414-2025 FSC-klagomål.docx", "A 33414-2025")</f>
        <v/>
      </c>
      <c r="AB32">
        <f>HYPERLINK("https://klasma.github.io/Logging_0682/klagomålsmail/A 33414-2025 FSC-klagomål mail.docx", "A 33414-2025")</f>
        <v/>
      </c>
      <c r="AC32">
        <f>HYPERLINK("https://klasma.github.io/Logging_0682/tillsyn/A 33414-2025 tillsynsbegäran.docx", "A 33414-2025")</f>
        <v/>
      </c>
      <c r="AD32">
        <f>HYPERLINK("https://klasma.github.io/Logging_0682/tillsynsmail/A 33414-2025 tillsynsbegäran mail.docx", "A 33414-2025")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46226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33373-2025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46226</v>
      </c>
      <c r="F34" t="inlineStr">
        <is>
          <t>JÖNKÖPINGS LÄN</t>
        </is>
      </c>
      <c r="G34" t="inlineStr">
        <is>
          <t>NÄSSJÖ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Ögonpyrola</t>
        </is>
      </c>
      <c r="W34">
        <f>HYPERLINK("https://klasma.github.io/Logging_0682/artfynd/A 33373-2025 artfynd.xlsx", "A 33373-2025")</f>
        <v/>
      </c>
      <c r="X34">
        <f>HYPERLINK("https://klasma.github.io/Logging_0682/kartor/A 33373-2025 karta.png", "A 33373-2025")</f>
        <v/>
      </c>
      <c r="Y34">
        <f>HYPERLINK("https://klasma.github.io/Logging_0682/kartor_geotiff/A 33373-2025 georefererad karta.tif", "A 33373-2025")</f>
        <v/>
      </c>
      <c r="AA34">
        <f>HYPERLINK("https://klasma.github.io/Logging_0682/klagomål/A 33373-2025 FSC-klagomål.docx", "A 33373-2025")</f>
        <v/>
      </c>
      <c r="AB34">
        <f>HYPERLINK("https://klasma.github.io/Logging_0682/klagomålsmail/A 33373-2025 FSC-klagomål mail.docx", "A 33373-2025")</f>
        <v/>
      </c>
      <c r="AC34">
        <f>HYPERLINK("https://klasma.github.io/Logging_0682/tillsyn/A 33373-2025 tillsynsbegäran.docx", "A 33373-2025")</f>
        <v/>
      </c>
      <c r="AD34">
        <f>HYPERLINK("https://klasma.github.io/Logging_0682/tillsynsmail/A 33373-2025 tillsynsbegäran mail.docx", "A 33373-2025")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46226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34527-2025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46226</v>
      </c>
      <c r="F36" t="inlineStr">
        <is>
          <t>JÖNKÖPINGS LÄN</t>
        </is>
      </c>
      <c r="G36" t="inlineStr">
        <is>
          <t>NÄSSJÖ</t>
        </is>
      </c>
      <c r="H36" t="inlineStr">
        <is>
          <t>Kyrkan</t>
        </is>
      </c>
      <c r="I36" t="n">
        <v>6.2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HYPERLINK("https://klasma.github.io/Logging_0682/artfynd/A 34527-2025 artfynd.xlsx", "A 34527-2025")</f>
        <v/>
      </c>
      <c r="X36">
        <f>HYPERLINK("https://klasma.github.io/Logging_0682/kartor/A 34527-2025 karta.png", "A 34527-2025")</f>
        <v/>
      </c>
      <c r="Y36">
        <f>HYPERLINK("https://klasma.github.io/Logging_0682/kartor_geotiff/A 34527-2025 georefererad karta.tif", "A 34527-2025")</f>
        <v/>
      </c>
      <c r="AA36">
        <f>HYPERLINK("https://klasma.github.io/Logging_0682/klagomål/A 34527-2025 FSC-klagomål.docx", "A 34527-2025")</f>
        <v/>
      </c>
      <c r="AB36">
        <f>HYPERLINK("https://klasma.github.io/Logging_0682/klagomålsmail/A 34527-2025 FSC-klagomål mail.docx", "A 34527-2025")</f>
        <v/>
      </c>
      <c r="AC36">
        <f>HYPERLINK("https://klasma.github.io/Logging_0682/tillsyn/A 34527-2025 tillsynsbegäran.docx", "A 34527-2025")</f>
        <v/>
      </c>
      <c r="AD36">
        <f>HYPERLINK("https://klasma.github.io/Logging_0682/tillsynsmail/A 34527-2025 tillsynsbegäran mail.docx", "A 34527-2025")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46226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46226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HYPERLINK("https://klasma.github.io/Logging_0682/artfynd/A 3693-2022 artfynd.xlsx", "A 3693-2022")</f>
        <v/>
      </c>
      <c r="X38">
        <f>HYPERLINK("https://klasma.github.io/Logging_0682/kartor/A 3693-2022 karta.png", "A 3693-2022")</f>
        <v/>
      </c>
      <c r="Y38">
        <f>HYPERLINK("https://klasma.github.io/Logging_0682/kartor_geotiff/A 3693-2022 georefererad karta.tif", "A 3693-2022")</f>
        <v/>
      </c>
      <c r="AA38">
        <f>HYPERLINK("https://klasma.github.io/Logging_0682/klagomål/A 3693-2022 FSC-klagomål.docx", "A 3693-2022")</f>
        <v/>
      </c>
      <c r="AB38">
        <f>HYPERLINK("https://klasma.github.io/Logging_0682/klagomålsmail/A 3693-2022 FSC-klagomål mail.docx", "A 3693-2022")</f>
        <v/>
      </c>
      <c r="AC38">
        <f>HYPERLINK("https://klasma.github.io/Logging_0682/tillsyn/A 3693-2022 tillsynsbegäran.docx", "A 3693-2022")</f>
        <v/>
      </c>
      <c r="AD38">
        <f>HYPERLINK("https://klasma.github.io/Logging_0682/tillsynsmail/A 3693-2022 tillsynsbegäran mail.docx", "A 3693-2022")</f>
        <v/>
      </c>
      <c r="AE38">
        <f>HYPERLINK("https://klasma.github.io/Logging_0682/fåglar/A 3693-2022 prioriterade fågelarter.docx", "A 3693-2022")</f>
        <v/>
      </c>
    </row>
    <row r="39" ht="15" customHeight="1">
      <c r="A39" t="inlineStr">
        <is>
          <t>A 46451-2022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46226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Sälg</t>
        </is>
      </c>
      <c r="W39">
        <f>HYPERLINK("https://klasma.github.io/Logging_0682/artfynd/A 46451-2022 artfynd.xlsx", "A 46451-2022")</f>
        <v/>
      </c>
      <c r="X39">
        <f>HYPERLINK("https://klasma.github.io/Logging_0682/kartor/A 46451-2022 karta.png", "A 46451-2022")</f>
        <v/>
      </c>
      <c r="Y39">
        <f>HYPERLINK("https://klasma.github.io/Logging_0682/kartor_geotiff/A 46451-2022 georefererad karta.tif", "A 46451-2022")</f>
        <v/>
      </c>
      <c r="AA39">
        <f>HYPERLINK("https://klasma.github.io/Logging_0682/klagomål/A 46451-2022 FSC-klagomål.docx", "A 46451-2022")</f>
        <v/>
      </c>
      <c r="AB39">
        <f>HYPERLINK("https://klasma.github.io/Logging_0682/klagomålsmail/A 46451-2022 FSC-klagomål mail.docx", "A 46451-2022")</f>
        <v/>
      </c>
      <c r="AC39">
        <f>HYPERLINK("https://klasma.github.io/Logging_0682/tillsyn/A 46451-2022 tillsynsbegäran.docx", "A 46451-2022")</f>
        <v/>
      </c>
      <c r="AD39">
        <f>HYPERLINK("https://klasma.github.io/Logging_0682/tillsynsmail/A 46451-2022 tillsynsbegäran mail.docx", "A 46451-2022")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46226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60892-2024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46226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60892-2024 artfynd.xlsx", "A 60892-2024")</f>
        <v/>
      </c>
      <c r="X41">
        <f>HYPERLINK("https://klasma.github.io/Logging_0682/kartor/A 60892-2024 karta.png", "A 60892-2024")</f>
        <v/>
      </c>
      <c r="Y41">
        <f>HYPERLINK("https://klasma.github.io/Logging_0682/kartor_geotiff/A 60892-2024 georefererad karta.tif", "A 60892-2024")</f>
        <v/>
      </c>
      <c r="AA41">
        <f>HYPERLINK("https://klasma.github.io/Logging_0682/klagomål/A 60892-2024 FSC-klagomål.docx", "A 60892-2024")</f>
        <v/>
      </c>
      <c r="AB41">
        <f>HYPERLINK("https://klasma.github.io/Logging_0682/klagomålsmail/A 60892-2024 FSC-klagomål mail.docx", "A 60892-2024")</f>
        <v/>
      </c>
      <c r="AC41">
        <f>HYPERLINK("https://klasma.github.io/Logging_0682/tillsyn/A 60892-2024 tillsynsbegäran.docx", "A 60892-2024")</f>
        <v/>
      </c>
      <c r="AD41">
        <f>HYPERLINK("https://klasma.github.io/Logging_0682/tillsynsmail/A 60892-2024 tillsynsbegäran mail.docx", "A 60892-2024")</f>
        <v/>
      </c>
    </row>
    <row r="42" ht="15" customHeight="1">
      <c r="A42" t="inlineStr">
        <is>
          <t>A 5108-2026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46226</v>
      </c>
      <c r="F42" t="inlineStr">
        <is>
          <t>JÖNKÖPINGS LÄN</t>
        </is>
      </c>
      <c r="G42" t="inlineStr">
        <is>
          <t>NÄSSJÖ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HYPERLINK("https://klasma.github.io/Logging_0682/artfynd/A 5108-2026 artfynd.xlsx", "A 5108-2026")</f>
        <v/>
      </c>
      <c r="X42">
        <f>HYPERLINK("https://klasma.github.io/Logging_0682/kartor/A 5108-2026 karta.png", "A 5108-2026")</f>
        <v/>
      </c>
      <c r="Y42">
        <f>HYPERLINK("https://klasma.github.io/Logging_0682/kartor_geotiff/A 5108-2026 georefererad karta.tif", "A 5108-2026")</f>
        <v/>
      </c>
      <c r="AA42">
        <f>HYPERLINK("https://klasma.github.io/Logging_0682/klagomål/A 5108-2026 FSC-klagomål.docx", "A 5108-2026")</f>
        <v/>
      </c>
      <c r="AB42">
        <f>HYPERLINK("https://klasma.github.io/Logging_0682/klagomålsmail/A 5108-2026 FSC-klagomål mail.docx", "A 5108-2026")</f>
        <v/>
      </c>
      <c r="AC42">
        <f>HYPERLINK("https://klasma.github.io/Logging_0682/tillsyn/A 5108-2026 tillsynsbegäran.docx", "A 5108-2026")</f>
        <v/>
      </c>
      <c r="AD42">
        <f>HYPERLINK("https://klasma.github.io/Logging_0682/tillsynsmail/A 5108-2026 tillsynsbegäran mail.docx", "A 5108-2026")</f>
        <v/>
      </c>
    </row>
    <row r="43" ht="15" customHeight="1">
      <c r="A43" t="inlineStr">
        <is>
          <t>A 4720-2026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46226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4720-2026 artfynd.xlsx", "A 4720-2026")</f>
        <v/>
      </c>
      <c r="X43">
        <f>HYPERLINK("https://klasma.github.io/Logging_0682/kartor/A 4720-2026 karta.png", "A 4720-2026")</f>
        <v/>
      </c>
      <c r="Y43">
        <f>HYPERLINK("https://klasma.github.io/Logging_0682/kartor_geotiff/A 4720-2026 georefererad karta.tif", "A 4720-2026")</f>
        <v/>
      </c>
      <c r="AA43">
        <f>HYPERLINK("https://klasma.github.io/Logging_0682/klagomål/A 4720-2026 FSC-klagomål.docx", "A 4720-2026")</f>
        <v/>
      </c>
      <c r="AB43">
        <f>HYPERLINK("https://klasma.github.io/Logging_0682/klagomålsmail/A 4720-2026 FSC-klagomål mail.docx", "A 4720-2026")</f>
        <v/>
      </c>
      <c r="AC43">
        <f>HYPERLINK("https://klasma.github.io/Logging_0682/tillsyn/A 4720-2026 tillsynsbegäran.docx", "A 4720-2026")</f>
        <v/>
      </c>
      <c r="AD43">
        <f>HYPERLINK("https://klasma.github.io/Logging_0682/tillsynsmail/A 4720-2026 tillsynsbegäran mail.docx", "A 4720-2026")</f>
        <v/>
      </c>
    </row>
    <row r="44" ht="15" customHeight="1">
      <c r="A44" t="inlineStr">
        <is>
          <t>A 7052-2026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46057</v>
      </c>
      <c r="E44" s="1" t="n">
        <v>46226</v>
      </c>
      <c r="F44" t="inlineStr">
        <is>
          <t>JÖNKÖPINGS LÄN</t>
        </is>
      </c>
      <c r="G44" t="inlineStr">
        <is>
          <t>NÄSSJÖ</t>
        </is>
      </c>
      <c r="I44" t="n">
        <v>5.7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HYPERLINK("https://klasma.github.io/Logging_0682/artfynd/A 7052-2026 artfynd.xlsx", "A 7052-2026")</f>
        <v/>
      </c>
      <c r="X44">
        <f>HYPERLINK("https://klasma.github.io/Logging_0682/kartor/A 7052-2026 karta.png", "A 7052-2026")</f>
        <v/>
      </c>
      <c r="Y44">
        <f>HYPERLINK("https://klasma.github.io/Logging_0682/kartor_geotiff/A 7052-2026 georefererad karta.tif", "A 7052-2026")</f>
        <v/>
      </c>
      <c r="AA44">
        <f>HYPERLINK("https://klasma.github.io/Logging_0682/klagomål/A 7052-2026 FSC-klagomål.docx", "A 7052-2026")</f>
        <v/>
      </c>
      <c r="AB44">
        <f>HYPERLINK("https://klasma.github.io/Logging_0682/klagomålsmail/A 7052-2026 FSC-klagomål mail.docx", "A 7052-2026")</f>
        <v/>
      </c>
      <c r="AC44">
        <f>HYPERLINK("https://klasma.github.io/Logging_0682/tillsyn/A 7052-2026 tillsynsbegäran.docx", "A 7052-2026")</f>
        <v/>
      </c>
      <c r="AD44">
        <f>HYPERLINK("https://klasma.github.io/Logging_0682/tillsynsmail/A 7052-2026 tillsynsbegäran mail.docx", "A 7052-2026")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46226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46226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55860-2022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46226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19</v>
      </c>
      <c r="U47" t="n">
        <v>0</v>
      </c>
      <c r="V47" s="2" t="inlineStr">
        <is>
          <t>Knärot</t>
        </is>
      </c>
      <c r="W47">
        <f>HYPERLINK("https://klasma.github.io/Logging_0682/artfynd/A 55860-2022 artfynd.xlsx", "A 55860-2022")</f>
        <v/>
      </c>
      <c r="X47">
        <f>HYPERLINK("https://klasma.github.io/Logging_0682/kartor/A 55860-2022 karta.png", "A 55860-2022")</f>
        <v/>
      </c>
      <c r="Y47">
        <f>HYPERLINK("https://klasma.github.io/Logging_0682/kartor_geotiff/A 55860-2022 georefererad karta.tif", "A 55860-2022")</f>
        <v/>
      </c>
      <c r="Z47">
        <f>HYPERLINK("https://klasma.github.io/Logging_0682/knärot/A 55860-2022 karta knärot.png", "A 55860-2022")</f>
        <v/>
      </c>
      <c r="AA47">
        <f>HYPERLINK("https://klasma.github.io/Logging_0682/klagomål/A 55860-2022 FSC-klagomål.docx", "A 55860-2022")</f>
        <v/>
      </c>
      <c r="AB47">
        <f>HYPERLINK("https://klasma.github.io/Logging_0682/klagomålsmail/A 55860-2022 FSC-klagomål mail.docx", "A 55860-2022")</f>
        <v/>
      </c>
      <c r="AC47">
        <f>HYPERLINK("https://klasma.github.io/Logging_0682/tillsyn/A 55860-2022 tillsynsbegäran.docx", "A 55860-2022")</f>
        <v/>
      </c>
      <c r="AD47">
        <f>HYPERLINK("https://klasma.github.io/Logging_0682/tillsynsmail/A 55860-2022 tillsynsbegäran mail.docx", "A 55860-2022")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46226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HYPERLINK("https://klasma.github.io/Logging_0682/artfynd/A 35328-2024 artfynd.xlsx", "A 35328-2024")</f>
        <v/>
      </c>
      <c r="X48">
        <f>HYPERLINK("https://klasma.github.io/Logging_0682/kartor/A 35328-2024 karta.png", "A 35328-2024")</f>
        <v/>
      </c>
      <c r="Y48">
        <f>HYPERLINK("https://klasma.github.io/Logging_0682/kartor_geotiff/A 35328-2024 georefererad karta.tif", "A 35328-2024")</f>
        <v/>
      </c>
      <c r="AA48">
        <f>HYPERLINK("https://klasma.github.io/Logging_0682/klagomål/A 35328-2024 FSC-klagomål.docx", "A 35328-2024")</f>
        <v/>
      </c>
      <c r="AB48">
        <f>HYPERLINK("https://klasma.github.io/Logging_0682/klagomålsmail/A 35328-2024 FSC-klagomål mail.docx", "A 35328-2024")</f>
        <v/>
      </c>
      <c r="AC48">
        <f>HYPERLINK("https://klasma.github.io/Logging_0682/tillsyn/A 35328-2024 tillsynsbegäran.docx", "A 35328-2024")</f>
        <v/>
      </c>
      <c r="AD48">
        <f>HYPERLINK("https://klasma.github.io/Logging_0682/tillsynsmail/A 35328-2024 tillsynsbegäran mail.docx", "A 35328-2024")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46226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46226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46226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46226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46226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46226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46226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46226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46226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46226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46226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46226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46226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46226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46226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46226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46226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46226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46226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46226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46226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46226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46226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46226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46226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46226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46226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46226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46226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46226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46226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46226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46226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46226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46226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46226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46226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46226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46226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46226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44407</v>
      </c>
      <c r="E90" s="1" t="n">
        <v>46226</v>
      </c>
      <c r="F90" t="inlineStr">
        <is>
          <t>JÖNKÖPINGS LÄN</t>
        </is>
      </c>
      <c r="G90" t="inlineStr">
        <is>
          <t>NÄSSJÖ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46226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46226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46226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46226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46226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46226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46226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46226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46226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46226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29183-2022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46226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46226</v>
      </c>
      <c r="F102" t="inlineStr">
        <is>
          <t>JÖNKÖPINGS LÄN</t>
        </is>
      </c>
      <c r="G102" t="inlineStr">
        <is>
          <t>NÄSSJÖ</t>
        </is>
      </c>
      <c r="I102" t="n">
        <v>12.9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46226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46226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46226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46226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46226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46226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46226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46226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46226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46226</v>
      </c>
      <c r="F112" t="inlineStr">
        <is>
          <t>JÖNKÖPINGS LÄN</t>
        </is>
      </c>
      <c r="G112" t="inlineStr">
        <is>
          <t>NÄSSJÖ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46226</v>
      </c>
      <c r="F113" t="inlineStr">
        <is>
          <t>JÖNKÖPINGS LÄN</t>
        </is>
      </c>
      <c r="G113" t="inlineStr">
        <is>
          <t>NÄSSJÖ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46226</v>
      </c>
      <c r="F114" t="inlineStr">
        <is>
          <t>JÖNKÖPINGS LÄN</t>
        </is>
      </c>
      <c r="G114" t="inlineStr">
        <is>
          <t>NÄSSJÖ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46226</v>
      </c>
      <c r="F115" t="inlineStr">
        <is>
          <t>JÖNKÖPINGS LÄN</t>
        </is>
      </c>
      <c r="G115" t="inlineStr">
        <is>
          <t>NÄSSJÖ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44988</v>
      </c>
      <c r="E116" s="1" t="n">
        <v>46226</v>
      </c>
      <c r="F116" t="inlineStr">
        <is>
          <t>JÖNKÖPINGS LÄN</t>
        </is>
      </c>
      <c r="G116" t="inlineStr">
        <is>
          <t>NÄSSJÖ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49389-2021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46226</v>
      </c>
      <c r="F117" t="inlineStr">
        <is>
          <t>JÖNKÖPINGS LÄN</t>
        </is>
      </c>
      <c r="G117" t="inlineStr">
        <is>
          <t>NÄSSJÖ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49880-2023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45213</v>
      </c>
      <c r="E118" s="1" t="n">
        <v>46226</v>
      </c>
      <c r="F118" t="inlineStr">
        <is>
          <t>JÖNKÖPINGS LÄN</t>
        </is>
      </c>
      <c r="G118" t="inlineStr">
        <is>
          <t>NÄSSJÖ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46226</v>
      </c>
      <c r="F119" t="inlineStr">
        <is>
          <t>JÖNKÖPINGS LÄN</t>
        </is>
      </c>
      <c r="G119" t="inlineStr">
        <is>
          <t>NÄSSJÖ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46226</v>
      </c>
      <c r="F120" t="inlineStr">
        <is>
          <t>JÖNKÖPINGS LÄN</t>
        </is>
      </c>
      <c r="G120" t="inlineStr">
        <is>
          <t>NÄSSJÖ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46226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51136-2023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45219</v>
      </c>
      <c r="E122" s="1" t="n">
        <v>46226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45704</v>
      </c>
      <c r="E123" s="1" t="n">
        <v>46226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44972</v>
      </c>
      <c r="E124" s="1" t="n">
        <v>46226</v>
      </c>
      <c r="F124" t="inlineStr">
        <is>
          <t>JÖNKÖPINGS LÄN</t>
        </is>
      </c>
      <c r="G124" t="inlineStr">
        <is>
          <t>NÄSSJÖ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45154</v>
      </c>
      <c r="E125" s="1" t="n">
        <v>46226</v>
      </c>
      <c r="F125" t="inlineStr">
        <is>
          <t>JÖNKÖPINGS LÄN</t>
        </is>
      </c>
      <c r="G125" t="inlineStr">
        <is>
          <t>NÄSSJÖ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46226</v>
      </c>
      <c r="F126" t="inlineStr">
        <is>
          <t>JÖNKÖPINGS LÄN</t>
        </is>
      </c>
      <c r="G126" t="inlineStr">
        <is>
          <t>NÄSSJÖ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45277</v>
      </c>
      <c r="E127" s="1" t="n">
        <v>46226</v>
      </c>
      <c r="F127" t="inlineStr">
        <is>
          <t>JÖNKÖPINGS LÄN</t>
        </is>
      </c>
      <c r="G127" t="inlineStr">
        <is>
          <t>NÄSSJÖ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46226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46226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44867</v>
      </c>
      <c r="E130" s="1" t="n">
        <v>46226</v>
      </c>
      <c r="F130" t="inlineStr">
        <is>
          <t>JÖNKÖPINGS LÄN</t>
        </is>
      </c>
      <c r="G130" t="inlineStr">
        <is>
          <t>NÄSSJÖ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45031</v>
      </c>
      <c r="E131" s="1" t="n">
        <v>46226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12657-2024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45380</v>
      </c>
      <c r="E132" s="1" t="n">
        <v>46226</v>
      </c>
      <c r="F132" t="inlineStr">
        <is>
          <t>JÖNKÖPINGS LÄN</t>
        </is>
      </c>
      <c r="G132" t="inlineStr">
        <is>
          <t>NÄSSJÖ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63635-2023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45275</v>
      </c>
      <c r="E133" s="1" t="n">
        <v>46226</v>
      </c>
      <c r="F133" t="inlineStr">
        <is>
          <t>JÖNKÖPINGS LÄN</t>
        </is>
      </c>
      <c r="G133" t="inlineStr">
        <is>
          <t>NÄSSJÖ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46226</v>
      </c>
      <c r="F134" t="inlineStr">
        <is>
          <t>JÖNKÖPINGS LÄN</t>
        </is>
      </c>
      <c r="G134" t="inlineStr">
        <is>
          <t>NÄSSJÖ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46226</v>
      </c>
      <c r="F135" t="inlineStr">
        <is>
          <t>JÖNKÖPINGS LÄN</t>
        </is>
      </c>
      <c r="G135" t="inlineStr">
        <is>
          <t>NÄSSJÖ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46226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45503</v>
      </c>
      <c r="E137" s="1" t="n">
        <v>46226</v>
      </c>
      <c r="F137" t="inlineStr">
        <is>
          <t>JÖNKÖPINGS LÄN</t>
        </is>
      </c>
      <c r="G137" t="inlineStr">
        <is>
          <t>NÄSSJÖ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46226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46226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46226</v>
      </c>
      <c r="F140" t="inlineStr">
        <is>
          <t>JÖNKÖPINGS LÄN</t>
        </is>
      </c>
      <c r="G140" t="inlineStr">
        <is>
          <t>NÄSSJÖ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35811-2023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45148</v>
      </c>
      <c r="E141" s="1" t="n">
        <v>46226</v>
      </c>
      <c r="F141" t="inlineStr">
        <is>
          <t>JÖNKÖPINGS LÄN</t>
        </is>
      </c>
      <c r="G141" t="inlineStr">
        <is>
          <t>NÄSSJÖ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45259</v>
      </c>
      <c r="E142" s="1" t="n">
        <v>46226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46226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46226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46226</v>
      </c>
      <c r="F145" t="inlineStr">
        <is>
          <t>JÖNKÖPINGS LÄN</t>
        </is>
      </c>
      <c r="G145" t="inlineStr">
        <is>
          <t>NÄSSJÖ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46226</v>
      </c>
      <c r="F146" t="inlineStr">
        <is>
          <t>JÖNKÖPINGS LÄN</t>
        </is>
      </c>
      <c r="G146" t="inlineStr">
        <is>
          <t>NÄSSJÖ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46226</v>
      </c>
      <c r="F147" t="inlineStr">
        <is>
          <t>JÖNKÖPINGS LÄN</t>
        </is>
      </c>
      <c r="G147" t="inlineStr">
        <is>
          <t>NÄSSJÖ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45013</v>
      </c>
      <c r="E148" s="1" t="n">
        <v>46226</v>
      </c>
      <c r="F148" t="inlineStr">
        <is>
          <t>JÖNKÖPINGS LÄN</t>
        </is>
      </c>
      <c r="G148" t="inlineStr">
        <is>
          <t>NÄSSJÖ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46226</v>
      </c>
      <c r="F149" t="inlineStr">
        <is>
          <t>JÖNKÖPINGS LÄN</t>
        </is>
      </c>
      <c r="G149" t="inlineStr">
        <is>
          <t>NÄSSJÖ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46226</v>
      </c>
      <c r="F150" t="inlineStr">
        <is>
          <t>JÖNKÖPINGS LÄN</t>
        </is>
      </c>
      <c r="G150" t="inlineStr">
        <is>
          <t>NÄSSJÖ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46226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46226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46226</v>
      </c>
      <c r="F153" t="inlineStr">
        <is>
          <t>JÖNKÖPINGS LÄN</t>
        </is>
      </c>
      <c r="G153" t="inlineStr">
        <is>
          <t>NÄSSJÖ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46226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44819</v>
      </c>
      <c r="E155" s="1" t="n">
        <v>46226</v>
      </c>
      <c r="F155" t="inlineStr">
        <is>
          <t>JÖNKÖPINGS LÄN</t>
        </is>
      </c>
      <c r="G155" t="inlineStr">
        <is>
          <t>NÄSSJÖ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46226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45732</v>
      </c>
      <c r="E157" s="1" t="n">
        <v>46226</v>
      </c>
      <c r="F157" t="inlineStr">
        <is>
          <t>JÖNKÖPINGS LÄN</t>
        </is>
      </c>
      <c r="G157" t="inlineStr">
        <is>
          <t>NÄSSJÖ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45014</v>
      </c>
      <c r="E158" s="1" t="n">
        <v>46226</v>
      </c>
      <c r="F158" t="inlineStr">
        <is>
          <t>JÖNKÖPINGS LÄN</t>
        </is>
      </c>
      <c r="G158" t="inlineStr">
        <is>
          <t>NÄSSJÖ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46226</v>
      </c>
      <c r="F159" t="inlineStr">
        <is>
          <t>JÖNKÖPINGS LÄN</t>
        </is>
      </c>
      <c r="G159" t="inlineStr">
        <is>
          <t>NÄSSJÖ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46226</v>
      </c>
      <c r="F160" t="inlineStr">
        <is>
          <t>JÖNKÖPINGS LÄN</t>
        </is>
      </c>
      <c r="G160" t="inlineStr">
        <is>
          <t>NÄSSJÖ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45517</v>
      </c>
      <c r="E161" s="1" t="n">
        <v>46226</v>
      </c>
      <c r="F161" t="inlineStr">
        <is>
          <t>JÖNKÖPINGS LÄN</t>
        </is>
      </c>
      <c r="G161" t="inlineStr">
        <is>
          <t>NÄSSJÖ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46057</v>
      </c>
      <c r="E162" s="1" t="n">
        <v>46226</v>
      </c>
      <c r="F162" t="inlineStr">
        <is>
          <t>JÖNKÖPINGS LÄN</t>
        </is>
      </c>
      <c r="G162" t="inlineStr">
        <is>
          <t>NÄSSJÖ</t>
        </is>
      </c>
      <c r="H162" t="inlineStr">
        <is>
          <t>Övriga Aktiebolag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46226</v>
      </c>
      <c r="F163" t="inlineStr">
        <is>
          <t>JÖNKÖPINGS LÄN</t>
        </is>
      </c>
      <c r="G163" t="inlineStr">
        <is>
          <t>NÄSSJÖ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46226</v>
      </c>
      <c r="F164" t="inlineStr">
        <is>
          <t>JÖNKÖPINGS LÄN</t>
        </is>
      </c>
      <c r="G164" t="inlineStr">
        <is>
          <t>NÄSSJÖ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46226</v>
      </c>
      <c r="F165" t="inlineStr">
        <is>
          <t>JÖNKÖPINGS LÄN</t>
        </is>
      </c>
      <c r="G165" t="inlineStr">
        <is>
          <t>NÄSSJÖ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46226</v>
      </c>
      <c r="F166" t="inlineStr">
        <is>
          <t>JÖNKÖPINGS LÄN</t>
        </is>
      </c>
      <c r="G166" t="inlineStr">
        <is>
          <t>NÄSSJÖ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46061</v>
      </c>
      <c r="E167" s="1" t="n">
        <v>46226</v>
      </c>
      <c r="F167" t="inlineStr">
        <is>
          <t>JÖNKÖPINGS LÄN</t>
        </is>
      </c>
      <c r="G167" t="inlineStr">
        <is>
          <t>NÄSSJÖ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46226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46226</v>
      </c>
      <c r="F169" t="inlineStr">
        <is>
          <t>JÖNKÖPINGS LÄN</t>
        </is>
      </c>
      <c r="G169" t="inlineStr">
        <is>
          <t>NÄSSJÖ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46226</v>
      </c>
      <c r="F170" t="inlineStr">
        <is>
          <t>JÖNKÖPINGS LÄN</t>
        </is>
      </c>
      <c r="G170" t="inlineStr">
        <is>
          <t>NÄSSJÖ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44484</v>
      </c>
      <c r="E171" s="1" t="n">
        <v>46226</v>
      </c>
      <c r="F171" t="inlineStr">
        <is>
          <t>JÖNKÖPINGS LÄN</t>
        </is>
      </c>
      <c r="G171" t="inlineStr">
        <is>
          <t>NÄSSJÖ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46226</v>
      </c>
      <c r="F172" t="inlineStr">
        <is>
          <t>JÖNKÖPINGS LÄN</t>
        </is>
      </c>
      <c r="G172" t="inlineStr">
        <is>
          <t>NÄSSJÖ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46226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45412</v>
      </c>
      <c r="E174" s="1" t="n">
        <v>46226</v>
      </c>
      <c r="F174" t="inlineStr">
        <is>
          <t>JÖNKÖPINGS LÄN</t>
        </is>
      </c>
      <c r="G174" t="inlineStr">
        <is>
          <t>NÄSSJÖ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46070</v>
      </c>
      <c r="E175" s="1" t="n">
        <v>46226</v>
      </c>
      <c r="F175" t="inlineStr">
        <is>
          <t>JÖNKÖPINGS LÄN</t>
        </is>
      </c>
      <c r="G175" t="inlineStr">
        <is>
          <t>NÄSSJÖ</t>
        </is>
      </c>
      <c r="H175" t="inlineStr">
        <is>
          <t>Kyrkan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46226</v>
      </c>
      <c r="F176" t="inlineStr">
        <is>
          <t>JÖNKÖPINGS LÄN</t>
        </is>
      </c>
      <c r="G176" t="inlineStr">
        <is>
          <t>NÄSSJÖ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46226</v>
      </c>
      <c r="F177" t="inlineStr">
        <is>
          <t>JÖNKÖPINGS LÄN</t>
        </is>
      </c>
      <c r="G177" t="inlineStr">
        <is>
          <t>NÄSSJÖ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46226</v>
      </c>
      <c r="F178" t="inlineStr">
        <is>
          <t>JÖNKÖPINGS LÄN</t>
        </is>
      </c>
      <c r="G178" t="inlineStr">
        <is>
          <t>NÄSSJÖ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46226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46226</v>
      </c>
      <c r="F180" t="inlineStr">
        <is>
          <t>JÖNKÖPINGS LÄN</t>
        </is>
      </c>
      <c r="G180" t="inlineStr">
        <is>
          <t>NÄSSJÖ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45677</v>
      </c>
      <c r="E181" s="1" t="n">
        <v>46226</v>
      </c>
      <c r="F181" t="inlineStr">
        <is>
          <t>JÖNKÖPINGS LÄN</t>
        </is>
      </c>
      <c r="G181" t="inlineStr">
        <is>
          <t>NÄSSJÖ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46226</v>
      </c>
      <c r="F182" t="inlineStr">
        <is>
          <t>JÖNKÖPINGS LÄN</t>
        </is>
      </c>
      <c r="G182" t="inlineStr">
        <is>
          <t>NÄSSJÖ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46226</v>
      </c>
      <c r="F183" t="inlineStr">
        <is>
          <t>JÖNKÖPINGS LÄN</t>
        </is>
      </c>
      <c r="G183" t="inlineStr">
        <is>
          <t>NÄSSJÖ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44360-2023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45188</v>
      </c>
      <c r="E184" s="1" t="n">
        <v>46226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48968-2021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44453</v>
      </c>
      <c r="E185" s="1" t="n">
        <v>46226</v>
      </c>
      <c r="F185" t="inlineStr">
        <is>
          <t>JÖNKÖPINGS LÄN</t>
        </is>
      </c>
      <c r="G185" t="inlineStr">
        <is>
          <t>NÄSSJÖ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46074</v>
      </c>
      <c r="E186" s="1" t="n">
        <v>46226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39555-2025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45890</v>
      </c>
      <c r="E187" s="1" t="n">
        <v>46226</v>
      </c>
      <c r="F187" t="inlineStr">
        <is>
          <t>JÖNKÖPINGS LÄN</t>
        </is>
      </c>
      <c r="G187" t="inlineStr">
        <is>
          <t>NÄSSJÖ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45892</v>
      </c>
      <c r="E188" s="1" t="n">
        <v>46226</v>
      </c>
      <c r="F188" t="inlineStr">
        <is>
          <t>JÖNKÖPINGS LÄN</t>
        </is>
      </c>
      <c r="G188" t="inlineStr">
        <is>
          <t>NÄSSJÖ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46226</v>
      </c>
      <c r="F189" t="inlineStr">
        <is>
          <t>JÖNKÖPINGS LÄN</t>
        </is>
      </c>
      <c r="G189" t="inlineStr">
        <is>
          <t>NÄSSJÖ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46226</v>
      </c>
      <c r="F190" t="inlineStr">
        <is>
          <t>JÖNKÖPINGS LÄN</t>
        </is>
      </c>
      <c r="G190" t="inlineStr">
        <is>
          <t>NÄSSJÖ</t>
        </is>
      </c>
      <c r="H190" t="inlineStr">
        <is>
          <t>Kyrkan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46226</v>
      </c>
      <c r="F191" t="inlineStr">
        <is>
          <t>JÖNKÖPINGS LÄN</t>
        </is>
      </c>
      <c r="G191" t="inlineStr">
        <is>
          <t>NÄSSJÖ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46226</v>
      </c>
      <c r="F192" t="inlineStr">
        <is>
          <t>JÖNKÖPINGS LÄN</t>
        </is>
      </c>
      <c r="G192" t="inlineStr">
        <is>
          <t>NÄSSJÖ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46226</v>
      </c>
      <c r="F193" t="inlineStr">
        <is>
          <t>JÖNKÖPINGS LÄN</t>
        </is>
      </c>
      <c r="G193" t="inlineStr">
        <is>
          <t>NÄSSJÖ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46226</v>
      </c>
      <c r="F194" t="inlineStr">
        <is>
          <t>JÖNKÖPINGS LÄN</t>
        </is>
      </c>
      <c r="G194" t="inlineStr">
        <is>
          <t>NÄSSJÖ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46226</v>
      </c>
      <c r="F195" t="inlineStr">
        <is>
          <t>JÖNKÖPINGS LÄN</t>
        </is>
      </c>
      <c r="G195" t="inlineStr">
        <is>
          <t>NÄSSJÖ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46226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45899</v>
      </c>
      <c r="E197" s="1" t="n">
        <v>46226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45402</v>
      </c>
      <c r="E198" s="1" t="n">
        <v>46226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46226</v>
      </c>
      <c r="F199" t="inlineStr">
        <is>
          <t>JÖNKÖPINGS LÄN</t>
        </is>
      </c>
      <c r="G199" t="inlineStr">
        <is>
          <t>NÄSSJÖ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46090</v>
      </c>
      <c r="E200" s="1" t="n">
        <v>46226</v>
      </c>
      <c r="F200" t="inlineStr">
        <is>
          <t>JÖNKÖPINGS LÄN</t>
        </is>
      </c>
      <c r="G200" t="inlineStr">
        <is>
          <t>NÄSSJÖ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46226</v>
      </c>
      <c r="F201" t="inlineStr">
        <is>
          <t>JÖNKÖPINGS LÄN</t>
        </is>
      </c>
      <c r="G201" t="inlineStr">
        <is>
          <t>NÄSSJÖ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46226</v>
      </c>
      <c r="F202" t="inlineStr">
        <is>
          <t>JÖNKÖPINGS LÄN</t>
        </is>
      </c>
      <c r="G202" t="inlineStr">
        <is>
          <t>NÄSSJÖ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45873</v>
      </c>
      <c r="E203" s="1" t="n">
        <v>46226</v>
      </c>
      <c r="F203" t="inlineStr">
        <is>
          <t>JÖNKÖPINGS LÄN</t>
        </is>
      </c>
      <c r="G203" t="inlineStr">
        <is>
          <t>NÄSSJÖ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46226</v>
      </c>
      <c r="F204" t="inlineStr">
        <is>
          <t>JÖNKÖPINGS LÄN</t>
        </is>
      </c>
      <c r="G204" t="inlineStr">
        <is>
          <t>NÄSSJÖ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46226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46226</v>
      </c>
      <c r="F206" t="inlineStr">
        <is>
          <t>JÖNKÖPINGS LÄN</t>
        </is>
      </c>
      <c r="G206" t="inlineStr">
        <is>
          <t>NÄSSJÖ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45907</v>
      </c>
      <c r="E207" s="1" t="n">
        <v>46226</v>
      </c>
      <c r="F207" t="inlineStr">
        <is>
          <t>JÖNKÖPINGS LÄN</t>
        </is>
      </c>
      <c r="G207" t="inlineStr">
        <is>
          <t>NÄSSJÖ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45907</v>
      </c>
      <c r="E208" s="1" t="n">
        <v>46226</v>
      </c>
      <c r="F208" t="inlineStr">
        <is>
          <t>JÖNKÖPINGS LÄN</t>
        </is>
      </c>
      <c r="G208" t="inlineStr">
        <is>
          <t>NÄSSJÖ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46226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46226</v>
      </c>
      <c r="F210" t="inlineStr">
        <is>
          <t>JÖNKÖPINGS LÄN</t>
        </is>
      </c>
      <c r="G210" t="inlineStr">
        <is>
          <t>NÄSSJÖ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46226</v>
      </c>
      <c r="F211" t="inlineStr">
        <is>
          <t>JÖNKÖPINGS LÄN</t>
        </is>
      </c>
      <c r="G211" t="inlineStr">
        <is>
          <t>NÄSSJÖ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12652-2026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46091</v>
      </c>
      <c r="E212" s="1" t="n">
        <v>46226</v>
      </c>
      <c r="F212" t="inlineStr">
        <is>
          <t>JÖNKÖPINGS LÄN</t>
        </is>
      </c>
      <c r="G212" t="inlineStr">
        <is>
          <t>NÄSSJÖ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54303-2021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44472</v>
      </c>
      <c r="E213" s="1" t="n">
        <v>46226</v>
      </c>
      <c r="F213" t="inlineStr">
        <is>
          <t>JÖNKÖPINGS LÄN</t>
        </is>
      </c>
      <c r="G213" t="inlineStr">
        <is>
          <t>NÄSSJÖ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46226</v>
      </c>
      <c r="F214" t="inlineStr">
        <is>
          <t>JÖNKÖPINGS LÄN</t>
        </is>
      </c>
      <c r="G214" t="inlineStr">
        <is>
          <t>NÄSSJÖ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46226</v>
      </c>
      <c r="F215" t="inlineStr">
        <is>
          <t>JÖNKÖPINGS LÄN</t>
        </is>
      </c>
      <c r="G215" t="inlineStr">
        <is>
          <t>NÄSSJÖ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46226</v>
      </c>
      <c r="F216" t="inlineStr">
        <is>
          <t>JÖNKÖPINGS LÄN</t>
        </is>
      </c>
      <c r="G216" t="inlineStr">
        <is>
          <t>NÄSSJÖ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46226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45046</v>
      </c>
      <c r="E218" s="1" t="n">
        <v>46226</v>
      </c>
      <c r="F218" t="inlineStr">
        <is>
          <t>JÖNKÖPINGS LÄN</t>
        </is>
      </c>
      <c r="G218" t="inlineStr">
        <is>
          <t>NÄSSJÖ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44699</v>
      </c>
      <c r="E219" s="1" t="n">
        <v>46226</v>
      </c>
      <c r="F219" t="inlineStr">
        <is>
          <t>JÖNKÖPINGS LÄN</t>
        </is>
      </c>
      <c r="G219" t="inlineStr">
        <is>
          <t>NÄSSJÖ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46226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44763-2025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45917</v>
      </c>
      <c r="E221" s="1" t="n">
        <v>46226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46226</v>
      </c>
      <c r="F222" t="inlineStr">
        <is>
          <t>JÖNKÖPINGS LÄN</t>
        </is>
      </c>
      <c r="G222" t="inlineStr">
        <is>
          <t>NÄSSJÖ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45919</v>
      </c>
      <c r="E223" s="1" t="n">
        <v>46226</v>
      </c>
      <c r="F223" t="inlineStr">
        <is>
          <t>JÖNKÖPINGS LÄN</t>
        </is>
      </c>
      <c r="G223" t="inlineStr">
        <is>
          <t>NÄSSJÖ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46226</v>
      </c>
      <c r="F224" t="inlineStr">
        <is>
          <t>JÖNKÖPINGS LÄN</t>
        </is>
      </c>
      <c r="G224" t="inlineStr">
        <is>
          <t>NÄSSJÖ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46226</v>
      </c>
      <c r="F225" t="inlineStr">
        <is>
          <t>JÖNKÖPINGS LÄN</t>
        </is>
      </c>
      <c r="G225" t="inlineStr">
        <is>
          <t>NÄSSJÖ</t>
        </is>
      </c>
      <c r="H225" t="inlineStr">
        <is>
          <t>Kommuner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46226</v>
      </c>
      <c r="F226" t="inlineStr">
        <is>
          <t>JÖNKÖPINGS LÄN</t>
        </is>
      </c>
      <c r="G226" t="inlineStr">
        <is>
          <t>NÄSSJÖ</t>
        </is>
      </c>
      <c r="H226" t="inlineStr">
        <is>
          <t>Kommuner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46226</v>
      </c>
      <c r="F227" t="inlineStr">
        <is>
          <t>JÖNKÖPINGS LÄN</t>
        </is>
      </c>
      <c r="G227" t="inlineStr">
        <is>
          <t>NÄSSJÖ</t>
        </is>
      </c>
      <c r="H227" t="inlineStr">
        <is>
          <t>Kommuner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46226</v>
      </c>
      <c r="F228" t="inlineStr">
        <is>
          <t>JÖNKÖPINGS LÄN</t>
        </is>
      </c>
      <c r="G228" t="inlineStr">
        <is>
          <t>NÄSSJÖ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46226</v>
      </c>
      <c r="F229" t="inlineStr">
        <is>
          <t>JÖNKÖPINGS LÄN</t>
        </is>
      </c>
      <c r="G229" t="inlineStr">
        <is>
          <t>NÄSSJÖ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46226</v>
      </c>
      <c r="F230" t="inlineStr">
        <is>
          <t>JÖNKÖPINGS LÄN</t>
        </is>
      </c>
      <c r="G230" t="inlineStr">
        <is>
          <t>NÄSSJÖ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46226</v>
      </c>
      <c r="F231" t="inlineStr">
        <is>
          <t>JÖNKÖPINGS LÄN</t>
        </is>
      </c>
      <c r="G231" t="inlineStr">
        <is>
          <t>NÄSSJÖ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46226</v>
      </c>
      <c r="F232" t="inlineStr">
        <is>
          <t>JÖNKÖPINGS LÄN</t>
        </is>
      </c>
      <c r="G232" t="inlineStr">
        <is>
          <t>NÄSSJÖ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45794</v>
      </c>
      <c r="E233" s="1" t="n">
        <v>46226</v>
      </c>
      <c r="F233" t="inlineStr">
        <is>
          <t>JÖNKÖPINGS LÄN</t>
        </is>
      </c>
      <c r="G233" t="inlineStr">
        <is>
          <t>NÄSSJÖ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45488</v>
      </c>
      <c r="E234" s="1" t="n">
        <v>46226</v>
      </c>
      <c r="F234" t="inlineStr">
        <is>
          <t>JÖNKÖPINGS LÄN</t>
        </is>
      </c>
      <c r="G234" t="inlineStr">
        <is>
          <t>NÄSSJÖ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46226</v>
      </c>
      <c r="F235" t="inlineStr">
        <is>
          <t>JÖNKÖPINGS LÄN</t>
        </is>
      </c>
      <c r="G235" t="inlineStr">
        <is>
          <t>NÄSSJÖ</t>
        </is>
      </c>
      <c r="H235" t="inlineStr">
        <is>
          <t>Kommuner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46226</v>
      </c>
      <c r="F236" t="inlineStr">
        <is>
          <t>JÖNKÖPINGS LÄN</t>
        </is>
      </c>
      <c r="G236" t="inlineStr">
        <is>
          <t>NÄSSJÖ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46120</v>
      </c>
      <c r="E237" s="1" t="n">
        <v>46226</v>
      </c>
      <c r="F237" t="inlineStr">
        <is>
          <t>JÖNKÖPINGS LÄN</t>
        </is>
      </c>
      <c r="G237" t="inlineStr">
        <is>
          <t>NÄSSJÖ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46226</v>
      </c>
      <c r="F238" t="inlineStr">
        <is>
          <t>JÖNKÖPINGS LÄN</t>
        </is>
      </c>
      <c r="G238" t="inlineStr">
        <is>
          <t>NÄSSJÖ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46226</v>
      </c>
      <c r="F239" t="inlineStr">
        <is>
          <t>JÖNKÖPINGS LÄN</t>
        </is>
      </c>
      <c r="G239" t="inlineStr">
        <is>
          <t>NÄSSJÖ</t>
        </is>
      </c>
      <c r="I239" t="n">
        <v>13.7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46226</v>
      </c>
      <c r="F240" t="inlineStr">
        <is>
          <t>JÖNKÖPINGS LÄN</t>
        </is>
      </c>
      <c r="G240" t="inlineStr">
        <is>
          <t>NÄSSJÖ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45732</v>
      </c>
      <c r="E241" s="1" t="n">
        <v>46226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45942</v>
      </c>
      <c r="E242" s="1" t="n">
        <v>46226</v>
      </c>
      <c r="F242" t="inlineStr">
        <is>
          <t>JÖNKÖPINGS LÄN</t>
        </is>
      </c>
      <c r="G242" t="inlineStr">
        <is>
          <t>NÄSSJÖ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50219-2025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45943</v>
      </c>
      <c r="E243" s="1" t="n">
        <v>46226</v>
      </c>
      <c r="F243" t="inlineStr">
        <is>
          <t>JÖNKÖPINGS LÄN</t>
        </is>
      </c>
      <c r="G243" t="inlineStr">
        <is>
          <t>NÄSSJÖ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45943</v>
      </c>
      <c r="E244" s="1" t="n">
        <v>46226</v>
      </c>
      <c r="F244" t="inlineStr">
        <is>
          <t>JÖNKÖPINGS LÄN</t>
        </is>
      </c>
      <c r="G244" t="inlineStr">
        <is>
          <t>NÄSSJÖ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46226</v>
      </c>
      <c r="F245" t="inlineStr">
        <is>
          <t>JÖNKÖPINGS LÄN</t>
        </is>
      </c>
      <c r="G245" t="inlineStr">
        <is>
          <t>NÄSSJÖ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57918-2021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46226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50439-2025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45944</v>
      </c>
      <c r="E247" s="1" t="n">
        <v>46226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45322</v>
      </c>
      <c r="E248" s="1" t="n">
        <v>46226</v>
      </c>
      <c r="F248" t="inlineStr">
        <is>
          <t>JÖNKÖPINGS LÄN</t>
        </is>
      </c>
      <c r="G248" t="inlineStr">
        <is>
          <t>NÄSSJÖ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46226</v>
      </c>
      <c r="F249" t="inlineStr">
        <is>
          <t>JÖNKÖPINGS LÄN</t>
        </is>
      </c>
      <c r="G249" t="inlineStr">
        <is>
          <t>NÄSSJÖ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46129</v>
      </c>
      <c r="E250" s="1" t="n">
        <v>46226</v>
      </c>
      <c r="F250" t="inlineStr">
        <is>
          <t>JÖNKÖPINGS LÄN</t>
        </is>
      </c>
      <c r="G250" t="inlineStr">
        <is>
          <t>NÄSSJÖ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46226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46226</v>
      </c>
      <c r="F252" t="inlineStr">
        <is>
          <t>JÖNKÖPINGS LÄN</t>
        </is>
      </c>
      <c r="G252" t="inlineStr">
        <is>
          <t>NÄSSJÖ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46226</v>
      </c>
      <c r="F253" t="inlineStr">
        <is>
          <t>JÖNKÖPINGS LÄN</t>
        </is>
      </c>
      <c r="G253" t="inlineStr">
        <is>
          <t>NÄSSJÖ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46226</v>
      </c>
      <c r="F254" t="inlineStr">
        <is>
          <t>JÖNKÖPINGS LÄN</t>
        </is>
      </c>
      <c r="G254" t="inlineStr">
        <is>
          <t>NÄSSJÖ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46226</v>
      </c>
      <c r="F255" t="inlineStr">
        <is>
          <t>JÖNKÖPINGS LÄN</t>
        </is>
      </c>
      <c r="G255" t="inlineStr">
        <is>
          <t>NÄSSJÖ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45760</v>
      </c>
      <c r="E256" s="1" t="n">
        <v>46226</v>
      </c>
      <c r="F256" t="inlineStr">
        <is>
          <t>JÖNKÖPINGS LÄN</t>
        </is>
      </c>
      <c r="G256" t="inlineStr">
        <is>
          <t>NÄSSJÖ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46226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46226</v>
      </c>
      <c r="F258" t="inlineStr">
        <is>
          <t>JÖNKÖPINGS LÄN</t>
        </is>
      </c>
      <c r="G258" t="inlineStr">
        <is>
          <t>NÄSSJÖ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45843</v>
      </c>
      <c r="E259" s="1" t="n">
        <v>46226</v>
      </c>
      <c r="F259" t="inlineStr">
        <is>
          <t>JÖNKÖPINGS LÄN</t>
        </is>
      </c>
      <c r="G259" t="inlineStr">
        <is>
          <t>NÄSSJÖ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45245</v>
      </c>
      <c r="E260" s="1" t="n">
        <v>46226</v>
      </c>
      <c r="F260" t="inlineStr">
        <is>
          <t>JÖNKÖPINGS LÄN</t>
        </is>
      </c>
      <c r="G260" t="inlineStr">
        <is>
          <t>NÄSSJÖ</t>
        </is>
      </c>
      <c r="H260" t="inlineStr">
        <is>
          <t>Kommuner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45077</v>
      </c>
      <c r="E261" s="1" t="n">
        <v>46226</v>
      </c>
      <c r="F261" t="inlineStr">
        <is>
          <t>JÖNKÖPINGS LÄN</t>
        </is>
      </c>
      <c r="G261" t="inlineStr">
        <is>
          <t>NÄSSJÖ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46226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46226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46226</v>
      </c>
      <c r="F264" t="inlineStr">
        <is>
          <t>JÖNKÖPINGS LÄN</t>
        </is>
      </c>
      <c r="G264" t="inlineStr">
        <is>
          <t>NÄSSJÖ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46226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46020</v>
      </c>
      <c r="E266" s="1" t="n">
        <v>46226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33977-2025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45843</v>
      </c>
      <c r="E267" s="1" t="n">
        <v>46226</v>
      </c>
      <c r="F267" t="inlineStr">
        <is>
          <t>JÖNKÖPINGS LÄN</t>
        </is>
      </c>
      <c r="G267" t="inlineStr">
        <is>
          <t>NÄSSJÖ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45843</v>
      </c>
      <c r="E268" s="1" t="n">
        <v>46226</v>
      </c>
      <c r="F268" t="inlineStr">
        <is>
          <t>JÖNKÖPINGS LÄN</t>
        </is>
      </c>
      <c r="G268" t="inlineStr">
        <is>
          <t>NÄSSJÖ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46226</v>
      </c>
      <c r="F269" t="inlineStr">
        <is>
          <t>JÖNKÖPINGS LÄN</t>
        </is>
      </c>
      <c r="G269" t="inlineStr">
        <is>
          <t>NÄSSJÖ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45083</v>
      </c>
      <c r="E270" s="1" t="n">
        <v>46226</v>
      </c>
      <c r="F270" t="inlineStr">
        <is>
          <t>JÖNKÖPINGS LÄN</t>
        </is>
      </c>
      <c r="G270" t="inlineStr">
        <is>
          <t>NÄSSJÖ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45573</v>
      </c>
      <c r="E271" s="1" t="n">
        <v>46226</v>
      </c>
      <c r="F271" t="inlineStr">
        <is>
          <t>JÖNKÖPINGS LÄN</t>
        </is>
      </c>
      <c r="G271" t="inlineStr">
        <is>
          <t>NÄSSJÖ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46226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46226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46226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15723-2025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46226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46226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46226</v>
      </c>
      <c r="F277" t="inlineStr">
        <is>
          <t>JÖNKÖPINGS LÄN</t>
        </is>
      </c>
      <c r="G277" t="inlineStr">
        <is>
          <t>NÄSSJÖ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46226</v>
      </c>
      <c r="F278" t="inlineStr">
        <is>
          <t>JÖNKÖPINGS LÄN</t>
        </is>
      </c>
      <c r="G278" t="inlineStr">
        <is>
          <t>NÄSSJÖ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46226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46226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44594</v>
      </c>
      <c r="E281" s="1" t="n">
        <v>46226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45757</v>
      </c>
      <c r="E282" s="1" t="n">
        <v>46226</v>
      </c>
      <c r="F282" t="inlineStr">
        <is>
          <t>JÖNKÖPINGS LÄN</t>
        </is>
      </c>
      <c r="G282" t="inlineStr">
        <is>
          <t>NÄSSJÖ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45083</v>
      </c>
      <c r="E283" s="1" t="n">
        <v>46226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46226</v>
      </c>
      <c r="F284" t="inlineStr">
        <is>
          <t>JÖNKÖPINGS LÄN</t>
        </is>
      </c>
      <c r="G284" t="inlineStr">
        <is>
          <t>NÄSSJÖ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46226</v>
      </c>
      <c r="F285" t="inlineStr">
        <is>
          <t>JÖNKÖPINGS LÄN</t>
        </is>
      </c>
      <c r="G285" t="inlineStr">
        <is>
          <t>NÄSSJÖ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HYPERLINK("https://klasma.github.io/Logging_0682/knärot/A 56586-2025 karta knärot.png", "A 56586-2025")</f>
        <v/>
      </c>
      <c r="AA285">
        <f>HYPERLINK("https://klasma.github.io/Logging_0682/klagomål/A 56586-2025 FSC-klagomål.docx", "A 56586-2025")</f>
        <v/>
      </c>
      <c r="AB285">
        <f>HYPERLINK("https://klasma.github.io/Logging_0682/klagomålsmail/A 56586-2025 FSC-klagomål mail.docx", "A 56586-2025")</f>
        <v/>
      </c>
      <c r="AC285">
        <f>HYPERLINK("https://klasma.github.io/Logging_0682/tillsyn/A 56586-2025 tillsynsbegäran.docx", "A 56586-2025")</f>
        <v/>
      </c>
      <c r="AD285">
        <f>HYPERLINK("https://klasma.github.io/Logging_0682/tillsynsmail/A 56586-2025 tillsynsbegäran mail.docx", "A 56586-2025")</f>
        <v/>
      </c>
    </row>
    <row r="286" ht="15" customHeight="1">
      <c r="A286" t="inlineStr">
        <is>
          <t>A 50195-2023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46226</v>
      </c>
      <c r="F286" t="inlineStr">
        <is>
          <t>JÖNKÖPINGS LÄN</t>
        </is>
      </c>
      <c r="G286" t="inlineStr">
        <is>
          <t>NÄSSJÖ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46226</v>
      </c>
      <c r="F287" t="inlineStr">
        <is>
          <t>JÖNKÖPINGS LÄN</t>
        </is>
      </c>
      <c r="G287" t="inlineStr">
        <is>
          <t>NÄSSJÖ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46226</v>
      </c>
      <c r="F288" t="inlineStr">
        <is>
          <t>JÖNKÖPINGS LÄN</t>
        </is>
      </c>
      <c r="G288" t="inlineStr">
        <is>
          <t>NÄSSJÖ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45719</v>
      </c>
      <c r="E289" s="1" t="n">
        <v>46226</v>
      </c>
      <c r="F289" t="inlineStr">
        <is>
          <t>JÖNKÖPINGS LÄN</t>
        </is>
      </c>
      <c r="G289" t="inlineStr">
        <is>
          <t>NÄSSJÖ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44946</v>
      </c>
      <c r="E290" s="1" t="n">
        <v>46226</v>
      </c>
      <c r="F290" t="inlineStr">
        <is>
          <t>JÖNKÖPINGS LÄN</t>
        </is>
      </c>
      <c r="G290" t="inlineStr">
        <is>
          <t>NÄSSJÖ</t>
        </is>
      </c>
      <c r="I290" t="n">
        <v>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45821</v>
      </c>
      <c r="E291" s="1" t="n">
        <v>46226</v>
      </c>
      <c r="F291" t="inlineStr">
        <is>
          <t>JÖNKÖPINGS LÄN</t>
        </is>
      </c>
      <c r="G291" t="inlineStr">
        <is>
          <t>NÄSSJÖ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46226</v>
      </c>
      <c r="F292" t="inlineStr">
        <is>
          <t>JÖNKÖPINGS LÄN</t>
        </is>
      </c>
      <c r="G292" t="inlineStr">
        <is>
          <t>NÄSSJÖ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46226</v>
      </c>
      <c r="F293" t="inlineStr">
        <is>
          <t>JÖNKÖPINGS LÄN</t>
        </is>
      </c>
      <c r="G293" t="inlineStr">
        <is>
          <t>NÄSSJÖ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46226</v>
      </c>
      <c r="F294" t="inlineStr">
        <is>
          <t>JÖNKÖPINGS LÄN</t>
        </is>
      </c>
      <c r="G294" t="inlineStr">
        <is>
          <t>NÄSSJÖ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45631</v>
      </c>
      <c r="E295" s="1" t="n">
        <v>46226</v>
      </c>
      <c r="F295" t="inlineStr">
        <is>
          <t>JÖNKÖPINGS LÄN</t>
        </is>
      </c>
      <c r="G295" t="inlineStr">
        <is>
          <t>NÄSSJÖ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45721</v>
      </c>
      <c r="E296" s="1" t="n">
        <v>46226</v>
      </c>
      <c r="F296" t="inlineStr">
        <is>
          <t>JÖNKÖPINGS LÄN</t>
        </is>
      </c>
      <c r="G296" t="inlineStr">
        <is>
          <t>NÄSSJÖ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46226</v>
      </c>
      <c r="F297" t="inlineStr">
        <is>
          <t>JÖNKÖPINGS LÄN</t>
        </is>
      </c>
      <c r="G297" t="inlineStr">
        <is>
          <t>NÄSSJÖ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45412</v>
      </c>
      <c r="E298" s="1" t="n">
        <v>46226</v>
      </c>
      <c r="F298" t="inlineStr">
        <is>
          <t>JÖNKÖPINGS LÄN</t>
        </is>
      </c>
      <c r="G298" t="inlineStr">
        <is>
          <t>NÄSSJÖ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44436-2025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45916</v>
      </c>
      <c r="E299" s="1" t="n">
        <v>46226</v>
      </c>
      <c r="F299" t="inlineStr">
        <is>
          <t>JÖNKÖPINGS LÄN</t>
        </is>
      </c>
      <c r="G299" t="inlineStr">
        <is>
          <t>NÄSSJÖ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45671</v>
      </c>
      <c r="E300" s="1" t="n">
        <v>46226</v>
      </c>
      <c r="F300" t="inlineStr">
        <is>
          <t>JÖNKÖPINGS LÄN</t>
        </is>
      </c>
      <c r="G300" t="inlineStr">
        <is>
          <t>NÄSSJÖ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46226</v>
      </c>
      <c r="F301" t="inlineStr">
        <is>
          <t>JÖNKÖPINGS LÄN</t>
        </is>
      </c>
      <c r="G301" t="inlineStr">
        <is>
          <t>NÄSSJÖ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46226</v>
      </c>
      <c r="F302" t="inlineStr">
        <is>
          <t>JÖNKÖPINGS LÄN</t>
        </is>
      </c>
      <c r="G302" t="inlineStr">
        <is>
          <t>NÄSSJÖ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46226</v>
      </c>
      <c r="F303" t="inlineStr">
        <is>
          <t>JÖNKÖPINGS LÄN</t>
        </is>
      </c>
      <c r="G303" t="inlineStr">
        <is>
          <t>NÄSSJÖ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46226</v>
      </c>
      <c r="F304" t="inlineStr">
        <is>
          <t>JÖNKÖPINGS LÄN</t>
        </is>
      </c>
      <c r="G304" t="inlineStr">
        <is>
          <t>NÄSSJÖ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44980</v>
      </c>
      <c r="E305" s="1" t="n">
        <v>46226</v>
      </c>
      <c r="F305" t="inlineStr">
        <is>
          <t>JÖNKÖPINGS LÄN</t>
        </is>
      </c>
      <c r="G305" t="inlineStr">
        <is>
          <t>NÄSSJÖ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45361</v>
      </c>
      <c r="E306" s="1" t="n">
        <v>46226</v>
      </c>
      <c r="F306" t="inlineStr">
        <is>
          <t>JÖNKÖPINGS LÄN</t>
        </is>
      </c>
      <c r="G306" t="inlineStr">
        <is>
          <t>NÄSSJÖ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71606-2021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44541</v>
      </c>
      <c r="E307" s="1" t="n">
        <v>46226</v>
      </c>
      <c r="F307" t="inlineStr">
        <is>
          <t>JÖNKÖPINGS LÄN</t>
        </is>
      </c>
      <c r="G307" t="inlineStr">
        <is>
          <t>NÄSSJÖ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46226</v>
      </c>
      <c r="F308" t="inlineStr">
        <is>
          <t>JÖNKÖPINGS LÄN</t>
        </is>
      </c>
      <c r="G308" t="inlineStr">
        <is>
          <t>NÄSSJÖ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45733</v>
      </c>
      <c r="E309" s="1" t="n">
        <v>46226</v>
      </c>
      <c r="F309" t="inlineStr">
        <is>
          <t>JÖNKÖPINGS LÄN</t>
        </is>
      </c>
      <c r="G309" t="inlineStr">
        <is>
          <t>NÄSSJÖ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20606-2026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46140</v>
      </c>
      <c r="E310" s="1" t="n">
        <v>46226</v>
      </c>
      <c r="F310" t="inlineStr">
        <is>
          <t>JÖNKÖPINGS LÄN</t>
        </is>
      </c>
      <c r="G310" t="inlineStr">
        <is>
          <t>NÄSSJÖ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46226</v>
      </c>
      <c r="F311" t="inlineStr">
        <is>
          <t>JÖNKÖPINGS LÄN</t>
        </is>
      </c>
      <c r="G311" t="inlineStr">
        <is>
          <t>NÄSSJÖ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60535-2025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46226</v>
      </c>
      <c r="F312" t="inlineStr">
        <is>
          <t>JÖNKÖPINGS LÄN</t>
        </is>
      </c>
      <c r="G312" t="inlineStr">
        <is>
          <t>NÄSSJÖ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46226</v>
      </c>
      <c r="F313" t="inlineStr">
        <is>
          <t>JÖNKÖPINGS LÄN</t>
        </is>
      </c>
      <c r="G313" t="inlineStr">
        <is>
          <t>NÄSSJÖ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46226</v>
      </c>
      <c r="F314" t="inlineStr">
        <is>
          <t>JÖNKÖPINGS LÄN</t>
        </is>
      </c>
      <c r="G314" t="inlineStr">
        <is>
          <t>NÄSSJÖ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46226</v>
      </c>
      <c r="F315" t="inlineStr">
        <is>
          <t>JÖNKÖPINGS LÄN</t>
        </is>
      </c>
      <c r="G315" t="inlineStr">
        <is>
          <t>NÄSSJÖ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46226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46226</v>
      </c>
      <c r="F317" t="inlineStr">
        <is>
          <t>JÖNKÖPINGS LÄN</t>
        </is>
      </c>
      <c r="G317" t="inlineStr">
        <is>
          <t>NÄSSJÖ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44776</v>
      </c>
      <c r="E318" s="1" t="n">
        <v>46226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46226</v>
      </c>
      <c r="F319" t="inlineStr">
        <is>
          <t>JÖNKÖPINGS LÄN</t>
        </is>
      </c>
      <c r="G319" t="inlineStr">
        <is>
          <t>NÄSSJÖ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45732</v>
      </c>
      <c r="E320" s="1" t="n">
        <v>46226</v>
      </c>
      <c r="F320" t="inlineStr">
        <is>
          <t>JÖNKÖPINGS LÄN</t>
        </is>
      </c>
      <c r="G320" t="inlineStr">
        <is>
          <t>NÄSSJÖ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45328</v>
      </c>
      <c r="E321" s="1" t="n">
        <v>46226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46226</v>
      </c>
      <c r="F322" t="inlineStr">
        <is>
          <t>JÖNKÖPINGS LÄN</t>
        </is>
      </c>
      <c r="G322" t="inlineStr">
        <is>
          <t>NÄSSJÖ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45277</v>
      </c>
      <c r="E323" s="1" t="n">
        <v>46226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46226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46226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45398</v>
      </c>
      <c r="E326" s="1" t="n">
        <v>46226</v>
      </c>
      <c r="F326" t="inlineStr">
        <is>
          <t>JÖNKÖPINGS LÄN</t>
        </is>
      </c>
      <c r="G326" t="inlineStr">
        <is>
          <t>NÄSSJÖ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46226</v>
      </c>
      <c r="F327" t="inlineStr">
        <is>
          <t>JÖNKÖPINGS LÄN</t>
        </is>
      </c>
      <c r="G327" t="inlineStr">
        <is>
          <t>NÄSSJÖ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41319-2022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46226</v>
      </c>
      <c r="F328" t="inlineStr">
        <is>
          <t>JÖNKÖPINGS LÄN</t>
        </is>
      </c>
      <c r="G328" t="inlineStr">
        <is>
          <t>NÄSSJÖ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46226</v>
      </c>
      <c r="F329" t="inlineStr">
        <is>
          <t>JÖNKÖPINGS LÄN</t>
        </is>
      </c>
      <c r="G329" t="inlineStr">
        <is>
          <t>NÄSSJÖ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45702</v>
      </c>
      <c r="E330" s="1" t="n">
        <v>46226</v>
      </c>
      <c r="F330" t="inlineStr">
        <is>
          <t>JÖNKÖPINGS LÄN</t>
        </is>
      </c>
      <c r="G330" t="inlineStr">
        <is>
          <t>NÄSSJÖ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45713</v>
      </c>
      <c r="E331" s="1" t="n">
        <v>46226</v>
      </c>
      <c r="F331" t="inlineStr">
        <is>
          <t>JÖNKÖPINGS LÄN</t>
        </is>
      </c>
      <c r="G331" t="inlineStr">
        <is>
          <t>NÄSSJÖ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46226</v>
      </c>
      <c r="F332" t="inlineStr">
        <is>
          <t>JÖNKÖPINGS LÄN</t>
        </is>
      </c>
      <c r="G332" t="inlineStr">
        <is>
          <t>NÄSSJÖ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46226</v>
      </c>
      <c r="F333" t="inlineStr">
        <is>
          <t>JÖNKÖPINGS LÄN</t>
        </is>
      </c>
      <c r="G333" t="inlineStr">
        <is>
          <t>NÄSSJÖ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46226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46226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45008</v>
      </c>
      <c r="E336" s="1" t="n">
        <v>46226</v>
      </c>
      <c r="F336" t="inlineStr">
        <is>
          <t>JÖNKÖPINGS LÄN</t>
        </is>
      </c>
      <c r="G336" t="inlineStr">
        <is>
          <t>NÄSSJÖ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45881</v>
      </c>
      <c r="E337" s="1" t="n">
        <v>46226</v>
      </c>
      <c r="F337" t="inlineStr">
        <is>
          <t>JÖNKÖPINGS LÄN</t>
        </is>
      </c>
      <c r="G337" t="inlineStr">
        <is>
          <t>NÄSSJÖ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21184-2026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46146</v>
      </c>
      <c r="E338" s="1" t="n">
        <v>46226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46226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46226</v>
      </c>
      <c r="F340" t="inlineStr">
        <is>
          <t>JÖNKÖPINGS LÄN</t>
        </is>
      </c>
      <c r="G340" t="inlineStr">
        <is>
          <t>NÄSSJÖ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46187</v>
      </c>
      <c r="E341" s="1" t="n">
        <v>46226</v>
      </c>
      <c r="F341" t="inlineStr">
        <is>
          <t>JÖNKÖPINGS LÄN</t>
        </is>
      </c>
      <c r="G341" t="inlineStr">
        <is>
          <t>NÄSSJÖ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45391</v>
      </c>
      <c r="E342" s="1" t="n">
        <v>46226</v>
      </c>
      <c r="F342" t="inlineStr">
        <is>
          <t>JÖNKÖPINGS LÄN</t>
        </is>
      </c>
      <c r="G342" t="inlineStr">
        <is>
          <t>NÄSSJÖ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45391</v>
      </c>
      <c r="E343" s="1" t="n">
        <v>46226</v>
      </c>
      <c r="F343" t="inlineStr">
        <is>
          <t>JÖNKÖPINGS LÄN</t>
        </is>
      </c>
      <c r="G343" t="inlineStr">
        <is>
          <t>NÄSSJÖ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63987-2025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46021</v>
      </c>
      <c r="E344" s="1" t="n">
        <v>46226</v>
      </c>
      <c r="F344" t="inlineStr">
        <is>
          <t>JÖNKÖPINGS LÄN</t>
        </is>
      </c>
      <c r="G344" t="inlineStr">
        <is>
          <t>NÄSSJÖ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46187</v>
      </c>
      <c r="E345" s="1" t="n">
        <v>46226</v>
      </c>
      <c r="F345" t="inlineStr">
        <is>
          <t>JÖNKÖPINGS LÄN</t>
        </is>
      </c>
      <c r="G345" t="inlineStr">
        <is>
          <t>NÄSSJÖ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46187</v>
      </c>
      <c r="E346" s="1" t="n">
        <v>46226</v>
      </c>
      <c r="F346" t="inlineStr">
        <is>
          <t>JÖNKÖPINGS LÄN</t>
        </is>
      </c>
      <c r="G346" t="inlineStr">
        <is>
          <t>NÄSSJÖ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46226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46226</v>
      </c>
      <c r="F348" t="inlineStr">
        <is>
          <t>JÖNKÖPINGS LÄN</t>
        </is>
      </c>
      <c r="G348" t="inlineStr">
        <is>
          <t>NÄSSJÖ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33533-2023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46226</v>
      </c>
      <c r="F349" t="inlineStr">
        <is>
          <t>JÖNKÖPINGS LÄN</t>
        </is>
      </c>
      <c r="G349" t="inlineStr">
        <is>
          <t>NÄSSJÖ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44928</v>
      </c>
      <c r="E350" s="1" t="n">
        <v>46226</v>
      </c>
      <c r="F350" t="inlineStr">
        <is>
          <t>JÖNKÖPINGS LÄN</t>
        </is>
      </c>
      <c r="G350" t="inlineStr">
        <is>
          <t>NÄSSJÖ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46226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46226</v>
      </c>
      <c r="F352" t="inlineStr">
        <is>
          <t>JÖNKÖPINGS LÄN</t>
        </is>
      </c>
      <c r="G352" t="inlineStr">
        <is>
          <t>NÄSSJÖ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14786-2025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45742</v>
      </c>
      <c r="E353" s="1" t="n">
        <v>46226</v>
      </c>
      <c r="F353" t="inlineStr">
        <is>
          <t>JÖNKÖPINGS LÄN</t>
        </is>
      </c>
      <c r="G353" t="inlineStr">
        <is>
          <t>NÄSSJÖ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46226</v>
      </c>
      <c r="F354" t="inlineStr">
        <is>
          <t>JÖNKÖPINGS LÄN</t>
        </is>
      </c>
      <c r="G354" t="inlineStr">
        <is>
          <t>NÄSSJÖ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46226</v>
      </c>
      <c r="F355" t="inlineStr">
        <is>
          <t>JÖNKÖPINGS LÄN</t>
        </is>
      </c>
      <c r="G355" t="inlineStr">
        <is>
          <t>NÄSSJÖ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46226</v>
      </c>
      <c r="F356" t="inlineStr">
        <is>
          <t>JÖNKÖPINGS LÄN</t>
        </is>
      </c>
      <c r="G356" t="inlineStr">
        <is>
          <t>NÄSSJÖ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46226</v>
      </c>
      <c r="F357" t="inlineStr">
        <is>
          <t>JÖNKÖPINGS LÄN</t>
        </is>
      </c>
      <c r="G357" t="inlineStr">
        <is>
          <t>NÄSSJÖ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56411-2024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45625</v>
      </c>
      <c r="E358" s="1" t="n">
        <v>46226</v>
      </c>
      <c r="F358" t="inlineStr">
        <is>
          <t>JÖNKÖPINGS LÄN</t>
        </is>
      </c>
      <c r="G358" t="inlineStr">
        <is>
          <t>NÄSSJÖ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60838-2024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46226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46226</v>
      </c>
      <c r="F360" t="inlineStr">
        <is>
          <t>JÖNKÖPINGS LÄN</t>
        </is>
      </c>
      <c r="G360" t="inlineStr">
        <is>
          <t>NÄSSJÖ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23570-2024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45454</v>
      </c>
      <c r="E361" s="1" t="n">
        <v>46226</v>
      </c>
      <c r="F361" t="inlineStr">
        <is>
          <t>JÖNKÖPINGS LÄN</t>
        </is>
      </c>
      <c r="G361" t="inlineStr">
        <is>
          <t>NÄSSJÖ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46226</v>
      </c>
      <c r="F362" t="inlineStr">
        <is>
          <t>JÖNKÖPINGS LÄN</t>
        </is>
      </c>
      <c r="G362" t="inlineStr">
        <is>
          <t>NÄSSJÖ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46226</v>
      </c>
      <c r="F363" t="inlineStr">
        <is>
          <t>JÖNKÖPINGS LÄN</t>
        </is>
      </c>
      <c r="G363" t="inlineStr">
        <is>
          <t>NÄSSJÖ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45742</v>
      </c>
      <c r="E364" s="1" t="n">
        <v>46226</v>
      </c>
      <c r="F364" t="inlineStr">
        <is>
          <t>JÖNKÖPINGS LÄN</t>
        </is>
      </c>
      <c r="G364" t="inlineStr">
        <is>
          <t>NÄSSJÖ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44956</v>
      </c>
      <c r="E365" s="1" t="n">
        <v>46226</v>
      </c>
      <c r="F365" t="inlineStr">
        <is>
          <t>JÖNKÖPINGS LÄN</t>
        </is>
      </c>
      <c r="G365" t="inlineStr">
        <is>
          <t>NÄSSJÖ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46226</v>
      </c>
      <c r="F366" t="inlineStr">
        <is>
          <t>JÖNKÖPINGS LÄN</t>
        </is>
      </c>
      <c r="G366" t="inlineStr">
        <is>
          <t>NÄSSJÖ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46226</v>
      </c>
      <c r="F367" t="inlineStr">
        <is>
          <t>JÖNKÖPINGS LÄN</t>
        </is>
      </c>
      <c r="G367" t="inlineStr">
        <is>
          <t>NÄSSJÖ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45460</v>
      </c>
      <c r="E368" s="1" t="n">
        <v>46226</v>
      </c>
      <c r="F368" t="inlineStr">
        <is>
          <t>JÖNKÖPINGS LÄN</t>
        </is>
      </c>
      <c r="G368" t="inlineStr">
        <is>
          <t>NÄSSJÖ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46226</v>
      </c>
      <c r="F369" t="inlineStr">
        <is>
          <t>JÖNKÖPINGS LÄN</t>
        </is>
      </c>
      <c r="G369" t="inlineStr">
        <is>
          <t>NÄSSJÖ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46197</v>
      </c>
      <c r="E370" s="1" t="n">
        <v>46226</v>
      </c>
      <c r="F370" t="inlineStr">
        <is>
          <t>JÖNKÖPINGS LÄN</t>
        </is>
      </c>
      <c r="G370" t="inlineStr">
        <is>
          <t>NÄSSJÖ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46226</v>
      </c>
      <c r="F371" t="inlineStr">
        <is>
          <t>JÖNKÖPINGS LÄN</t>
        </is>
      </c>
      <c r="G371" t="inlineStr">
        <is>
          <t>NÄSSJÖ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46226</v>
      </c>
      <c r="F372" t="inlineStr">
        <is>
          <t>JÖNKÖPINGS LÄN</t>
        </is>
      </c>
      <c r="G372" t="inlineStr">
        <is>
          <t>NÄSSJÖ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46226</v>
      </c>
      <c r="F373" t="inlineStr">
        <is>
          <t>JÖNKÖPINGS LÄN</t>
        </is>
      </c>
      <c r="G373" t="inlineStr">
        <is>
          <t>NÄSSJÖ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46226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46226</v>
      </c>
      <c r="F375" t="inlineStr">
        <is>
          <t>JÖNKÖPINGS LÄN</t>
        </is>
      </c>
      <c r="G375" t="inlineStr">
        <is>
          <t>NÄSSJÖ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46226</v>
      </c>
      <c r="F376" t="inlineStr">
        <is>
          <t>JÖNKÖPINGS LÄN</t>
        </is>
      </c>
      <c r="G376" t="inlineStr">
        <is>
          <t>NÄSSJÖ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46226</v>
      </c>
      <c r="F377" t="inlineStr">
        <is>
          <t>JÖNKÖPINGS LÄN</t>
        </is>
      </c>
      <c r="G377" t="inlineStr">
        <is>
          <t>NÄSSJÖ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45320</v>
      </c>
      <c r="E378" s="1" t="n">
        <v>46226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46226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46051</v>
      </c>
      <c r="E380" s="1" t="n">
        <v>46226</v>
      </c>
      <c r="F380" t="inlineStr">
        <is>
          <t>JÖNKÖPINGS LÄN</t>
        </is>
      </c>
      <c r="G380" t="inlineStr">
        <is>
          <t>NÄSSJÖ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46226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46226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45372</v>
      </c>
      <c r="E383" s="1" t="n">
        <v>46226</v>
      </c>
      <c r="F383" t="inlineStr">
        <is>
          <t>JÖNKÖPINGS LÄN</t>
        </is>
      </c>
      <c r="G383" t="inlineStr">
        <is>
          <t>NÄSSJÖ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46154</v>
      </c>
      <c r="E384" s="1" t="n">
        <v>46226</v>
      </c>
      <c r="F384" t="inlineStr">
        <is>
          <t>JÖNKÖPINGS LÄN</t>
        </is>
      </c>
      <c r="G384" t="inlineStr">
        <is>
          <t>NÄSSJÖ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45567</v>
      </c>
      <c r="E385" s="1" t="n">
        <v>46226</v>
      </c>
      <c r="F385" t="inlineStr">
        <is>
          <t>JÖNKÖPINGS LÄN</t>
        </is>
      </c>
      <c r="G385" t="inlineStr">
        <is>
          <t>NÄSSJÖ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46226</v>
      </c>
      <c r="F386" t="inlineStr">
        <is>
          <t>JÖNKÖPINGS LÄN</t>
        </is>
      </c>
      <c r="G386" t="inlineStr">
        <is>
          <t>NÄSSJÖ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46226</v>
      </c>
      <c r="F387" t="inlineStr">
        <is>
          <t>JÖNKÖPINGS LÄN</t>
        </is>
      </c>
      <c r="G387" t="inlineStr">
        <is>
          <t>NÄSSJÖ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46051</v>
      </c>
      <c r="E388" s="1" t="n">
        <v>46226</v>
      </c>
      <c r="F388" t="inlineStr">
        <is>
          <t>JÖNKÖPINGS LÄN</t>
        </is>
      </c>
      <c r="G388" t="inlineStr">
        <is>
          <t>NÄSSJÖ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46226</v>
      </c>
      <c r="F389" t="inlineStr">
        <is>
          <t>JÖNKÖPINGS LÄN</t>
        </is>
      </c>
      <c r="G389" t="inlineStr">
        <is>
          <t>NÄSSJÖ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46226</v>
      </c>
      <c r="F390" t="inlineStr">
        <is>
          <t>JÖNKÖPINGS LÄN</t>
        </is>
      </c>
      <c r="G390" t="inlineStr">
        <is>
          <t>NÄSSJÖ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7087-2024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45343</v>
      </c>
      <c r="E391" s="1" t="n">
        <v>46226</v>
      </c>
      <c r="F391" t="inlineStr">
        <is>
          <t>JÖNKÖPINGS LÄN</t>
        </is>
      </c>
      <c r="G391" t="inlineStr">
        <is>
          <t>NÄSSJÖ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46226</v>
      </c>
      <c r="F392" t="inlineStr">
        <is>
          <t>JÖNKÖPINGS LÄN</t>
        </is>
      </c>
      <c r="G392" t="inlineStr">
        <is>
          <t>NÄSSJÖ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46226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46226</v>
      </c>
      <c r="F394" t="inlineStr">
        <is>
          <t>JÖNKÖPINGS LÄN</t>
        </is>
      </c>
      <c r="G394" t="inlineStr">
        <is>
          <t>NÄSSJÖ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45566</v>
      </c>
      <c r="E395" s="1" t="n">
        <v>46226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46226</v>
      </c>
      <c r="F396" t="inlineStr">
        <is>
          <t>JÖNKÖPINGS LÄN</t>
        </is>
      </c>
      <c r="G396" t="inlineStr">
        <is>
          <t>NÄSSJÖ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45184</v>
      </c>
      <c r="E397" s="1" t="n">
        <v>46226</v>
      </c>
      <c r="F397" t="inlineStr">
        <is>
          <t>JÖNKÖPINGS LÄN</t>
        </is>
      </c>
      <c r="G397" t="inlineStr">
        <is>
          <t>NÄSSJÖ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36945-2023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46226</v>
      </c>
      <c r="F398" t="inlineStr">
        <is>
          <t>JÖNKÖPINGS LÄN</t>
        </is>
      </c>
      <c r="G398" t="inlineStr">
        <is>
          <t>NÄSSJÖ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46226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45760</v>
      </c>
      <c r="E400" s="1" t="n">
        <v>46226</v>
      </c>
      <c r="F400" t="inlineStr">
        <is>
          <t>JÖNKÖPINGS LÄN</t>
        </is>
      </c>
      <c r="G400" t="inlineStr">
        <is>
          <t>NÄSSJÖ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45009</v>
      </c>
      <c r="E401" s="1" t="n">
        <v>46226</v>
      </c>
      <c r="F401" t="inlineStr">
        <is>
          <t>JÖNKÖPINGS LÄN</t>
        </is>
      </c>
      <c r="G401" t="inlineStr">
        <is>
          <t>NÄSSJÖ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46226</v>
      </c>
      <c r="F402" t="inlineStr">
        <is>
          <t>JÖNKÖPINGS LÄN</t>
        </is>
      </c>
      <c r="G402" t="inlineStr">
        <is>
          <t>NÄSSJÖ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46226</v>
      </c>
      <c r="F403" t="inlineStr">
        <is>
          <t>JÖNKÖPINGS LÄN</t>
        </is>
      </c>
      <c r="G403" t="inlineStr">
        <is>
          <t>NÄSSJÖ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15862-2022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44664</v>
      </c>
      <c r="E404" s="1" t="n">
        <v>46226</v>
      </c>
      <c r="F404" t="inlineStr">
        <is>
          <t>JÖNKÖPINGS LÄN</t>
        </is>
      </c>
      <c r="G404" t="inlineStr">
        <is>
          <t>NÄSSJÖ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45630</v>
      </c>
      <c r="E405" s="1" t="n">
        <v>46226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46226</v>
      </c>
      <c r="F406" t="inlineStr">
        <is>
          <t>JÖNKÖPINGS LÄN</t>
        </is>
      </c>
      <c r="G406" t="inlineStr">
        <is>
          <t>NÄSSJÖ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46226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52718-2024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45610</v>
      </c>
      <c r="E408" s="1" t="n">
        <v>46226</v>
      </c>
      <c r="F408" t="inlineStr">
        <is>
          <t>JÖNKÖPINGS LÄN</t>
        </is>
      </c>
      <c r="G408" t="inlineStr">
        <is>
          <t>NÄSSJÖ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45694</v>
      </c>
      <c r="E409" s="1" t="n">
        <v>46226</v>
      </c>
      <c r="F409" t="inlineStr">
        <is>
          <t>JÖNKÖPINGS LÄN</t>
        </is>
      </c>
      <c r="G409" t="inlineStr">
        <is>
          <t>NÄSSJÖ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46226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46226</v>
      </c>
      <c r="F411" t="inlineStr">
        <is>
          <t>JÖNKÖPINGS LÄN</t>
        </is>
      </c>
      <c r="G411" t="inlineStr">
        <is>
          <t>NÄSSJÖ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45720</v>
      </c>
      <c r="E412" s="1" t="n">
        <v>46226</v>
      </c>
      <c r="F412" t="inlineStr">
        <is>
          <t>JÖNKÖPINGS LÄN</t>
        </is>
      </c>
      <c r="G412" t="inlineStr">
        <is>
          <t>NÄSSJÖ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46226</v>
      </c>
      <c r="F413" t="inlineStr">
        <is>
          <t>JÖNKÖPINGS LÄN</t>
        </is>
      </c>
      <c r="G413" t="inlineStr">
        <is>
          <t>NÄSSJÖ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46226</v>
      </c>
      <c r="F414" t="inlineStr">
        <is>
          <t>JÖNKÖPINGS LÄN</t>
        </is>
      </c>
      <c r="G414" t="inlineStr">
        <is>
          <t>NÄSSJÖ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30382-2026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46209</v>
      </c>
      <c r="E415" s="1" t="n">
        <v>46226</v>
      </c>
      <c r="F415" t="inlineStr">
        <is>
          <t>JÖNKÖPINGS LÄN</t>
        </is>
      </c>
      <c r="G415" t="inlineStr">
        <is>
          <t>NÄSSJÖ</t>
        </is>
      </c>
      <c r="H415" t="inlineStr">
        <is>
          <t>Sveaskog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48479-2022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46226</v>
      </c>
      <c r="F416" t="inlineStr">
        <is>
          <t>JÖNKÖPINGS LÄN</t>
        </is>
      </c>
      <c r="G416" t="inlineStr">
        <is>
          <t>NÄSSJÖ</t>
        </is>
      </c>
      <c r="H416" t="inlineStr">
        <is>
          <t>Kommuner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45270</v>
      </c>
      <c r="E417" s="1" t="n">
        <v>46226</v>
      </c>
      <c r="F417" t="inlineStr">
        <is>
          <t>JÖNKÖPINGS LÄN</t>
        </is>
      </c>
      <c r="G417" t="inlineStr">
        <is>
          <t>NÄSSJÖ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46226</v>
      </c>
      <c r="F418" t="inlineStr">
        <is>
          <t>JÖNKÖPINGS LÄN</t>
        </is>
      </c>
      <c r="G418" t="inlineStr">
        <is>
          <t>NÄSSJÖ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46226</v>
      </c>
      <c r="F419" t="inlineStr">
        <is>
          <t>JÖNKÖPINGS LÄN</t>
        </is>
      </c>
      <c r="G419" t="inlineStr">
        <is>
          <t>NÄSSJÖ</t>
        </is>
      </c>
      <c r="H419" t="inlineStr">
        <is>
          <t>Sveaskog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46226</v>
      </c>
      <c r="F420" t="inlineStr">
        <is>
          <t>JÖNKÖPINGS LÄN</t>
        </is>
      </c>
      <c r="G420" t="inlineStr">
        <is>
          <t>NÄSSJÖ</t>
        </is>
      </c>
      <c r="H420" t="inlineStr">
        <is>
          <t>Sveaskog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46226</v>
      </c>
      <c r="F421" t="inlineStr">
        <is>
          <t>JÖNKÖPINGS LÄN</t>
        </is>
      </c>
      <c r="G421" t="inlineStr">
        <is>
          <t>NÄSSJÖ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46061-2021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44442</v>
      </c>
      <c r="E422" s="1" t="n">
        <v>46226</v>
      </c>
      <c r="F422" t="inlineStr">
        <is>
          <t>JÖNKÖPINGS LÄN</t>
        </is>
      </c>
      <c r="G422" t="inlineStr">
        <is>
          <t>NÄSSJÖ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47709-2023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45203</v>
      </c>
      <c r="E423" s="1" t="n">
        <v>46226</v>
      </c>
      <c r="F423" t="inlineStr">
        <is>
          <t>JÖNKÖPINGS LÄN</t>
        </is>
      </c>
      <c r="G423" t="inlineStr">
        <is>
          <t>NÄSSJÖ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45680</v>
      </c>
      <c r="E424" s="1" t="n">
        <v>46226</v>
      </c>
      <c r="F424" t="inlineStr">
        <is>
          <t>JÖNKÖPINGS LÄN</t>
        </is>
      </c>
      <c r="G424" t="inlineStr">
        <is>
          <t>NÄSSJÖ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45380</v>
      </c>
      <c r="E425" s="1" t="n">
        <v>46226</v>
      </c>
      <c r="F425" t="inlineStr">
        <is>
          <t>JÖNKÖPINGS LÄN</t>
        </is>
      </c>
      <c r="G425" t="inlineStr">
        <is>
          <t>NÄSSJÖ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46226</v>
      </c>
      <c r="F426" t="inlineStr">
        <is>
          <t>JÖNKÖPINGS LÄN</t>
        </is>
      </c>
      <c r="G426" t="inlineStr">
        <is>
          <t>NÄSSJÖ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46226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51374-2024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45604</v>
      </c>
      <c r="E428" s="1" t="n">
        <v>46226</v>
      </c>
      <c r="F428" t="inlineStr">
        <is>
          <t>JÖNKÖPINGS LÄN</t>
        </is>
      </c>
      <c r="G428" t="inlineStr">
        <is>
          <t>NÄSSJÖ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46226</v>
      </c>
      <c r="F429" t="inlineStr">
        <is>
          <t>JÖNKÖPINGS LÄN</t>
        </is>
      </c>
      <c r="G429" t="inlineStr">
        <is>
          <t>NÄSSJÖ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46212</v>
      </c>
      <c r="E430" s="1" t="n">
        <v>46226</v>
      </c>
      <c r="F430" t="inlineStr">
        <is>
          <t>JÖNKÖPINGS LÄN</t>
        </is>
      </c>
      <c r="G430" t="inlineStr">
        <is>
          <t>NÄSSJÖ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46226</v>
      </c>
      <c r="F431" t="inlineStr">
        <is>
          <t>JÖNKÖPINGS LÄN</t>
        </is>
      </c>
      <c r="G431" t="inlineStr">
        <is>
          <t>NÄSSJÖ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46226</v>
      </c>
      <c r="F432" t="inlineStr">
        <is>
          <t>JÖNKÖPINGS LÄN</t>
        </is>
      </c>
      <c r="G432" t="inlineStr">
        <is>
          <t>NÄSSJÖ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46226</v>
      </c>
      <c r="F433" t="inlineStr">
        <is>
          <t>JÖNKÖPINGS LÄN</t>
        </is>
      </c>
      <c r="G433" t="inlineStr">
        <is>
          <t>NÄSSJÖ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24873-2026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46174</v>
      </c>
      <c r="E434" s="1" t="n">
        <v>46226</v>
      </c>
      <c r="F434" t="inlineStr">
        <is>
          <t>JÖNKÖPINGS LÄN</t>
        </is>
      </c>
      <c r="G434" t="inlineStr">
        <is>
          <t>NÄSSJÖ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45693</v>
      </c>
      <c r="E435" s="1" t="n">
        <v>46226</v>
      </c>
      <c r="F435" t="inlineStr">
        <is>
          <t>JÖNKÖPINGS LÄN</t>
        </is>
      </c>
      <c r="G435" t="inlineStr">
        <is>
          <t>NÄSSJÖ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46226</v>
      </c>
      <c r="F436" t="inlineStr">
        <is>
          <t>JÖNKÖPINGS LÄN</t>
        </is>
      </c>
      <c r="G436" t="inlineStr">
        <is>
          <t>NÄSSJÖ</t>
        </is>
      </c>
      <c r="H436" t="inlineStr">
        <is>
          <t>Sveaskog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39832-2023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46226</v>
      </c>
      <c r="F437" t="inlineStr">
        <is>
          <t>JÖNKÖPINGS LÄN</t>
        </is>
      </c>
      <c r="G437" t="inlineStr">
        <is>
          <t>NÄSSJÖ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46226</v>
      </c>
      <c r="F438" t="inlineStr">
        <is>
          <t>JÖNKÖPINGS LÄN</t>
        </is>
      </c>
      <c r="G438" t="inlineStr">
        <is>
          <t>NÄSSJÖ</t>
        </is>
      </c>
      <c r="H438" t="inlineStr">
        <is>
          <t>Sveaskog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50718-2021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44460</v>
      </c>
      <c r="E439" s="1" t="n">
        <v>46226</v>
      </c>
      <c r="F439" t="inlineStr">
        <is>
          <t>JÖNKÖPINGS LÄN</t>
        </is>
      </c>
      <c r="G439" t="inlineStr">
        <is>
          <t>NÄSSJÖ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46226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15829-2024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45404</v>
      </c>
      <c r="E441" s="1" t="n">
        <v>46226</v>
      </c>
      <c r="F441" t="inlineStr">
        <is>
          <t>JÖNKÖPINGS LÄN</t>
        </is>
      </c>
      <c r="G441" t="inlineStr">
        <is>
          <t>NÄSSJÖ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50072-2023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46226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45259</v>
      </c>
      <c r="E443" s="1" t="n">
        <v>46226</v>
      </c>
      <c r="F443" t="inlineStr">
        <is>
          <t>JÖNKÖPINGS LÄN</t>
        </is>
      </c>
      <c r="G443" t="inlineStr">
        <is>
          <t>NÄSSJÖ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45069</v>
      </c>
      <c r="E444" s="1" t="n">
        <v>46226</v>
      </c>
      <c r="F444" t="inlineStr">
        <is>
          <t>JÖNKÖPINGS LÄN</t>
        </is>
      </c>
      <c r="G444" t="inlineStr">
        <is>
          <t>NÄSSJÖ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62002-2023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46226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44874</v>
      </c>
      <c r="E446" s="1" t="n">
        <v>46226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53636-2024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46226</v>
      </c>
      <c r="F447" t="inlineStr">
        <is>
          <t>JÖNKÖPINGS LÄN</t>
        </is>
      </c>
      <c r="G447" t="inlineStr">
        <is>
          <t>NÄSSJÖ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45246</v>
      </c>
      <c r="E448" s="1" t="n">
        <v>46226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57678-2021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44484</v>
      </c>
      <c r="E449" s="1" t="n">
        <v>46226</v>
      </c>
      <c r="F449" t="inlineStr">
        <is>
          <t>JÖNKÖPINGS LÄN</t>
        </is>
      </c>
      <c r="G449" t="inlineStr">
        <is>
          <t>NÄSSJÖ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45148</v>
      </c>
      <c r="E450" s="1" t="n">
        <v>46226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15819-2022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44664</v>
      </c>
      <c r="E451" s="1" t="n">
        <v>46226</v>
      </c>
      <c r="F451" t="inlineStr">
        <is>
          <t>JÖNKÖPINGS LÄN</t>
        </is>
      </c>
      <c r="G451" t="inlineStr">
        <is>
          <t>NÄSSJÖ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50552-2023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45210</v>
      </c>
      <c r="E452" s="1" t="n">
        <v>46226</v>
      </c>
      <c r="F452" t="inlineStr">
        <is>
          <t>JÖNKÖPINGS LÄN</t>
        </is>
      </c>
      <c r="G452" t="inlineStr">
        <is>
          <t>NÄSSJÖ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44902</v>
      </c>
      <c r="E453" s="1" t="n">
        <v>46226</v>
      </c>
      <c r="F453" t="inlineStr">
        <is>
          <t>JÖNKÖPINGS LÄN</t>
        </is>
      </c>
      <c r="G453" t="inlineStr">
        <is>
          <t>NÄSSJÖ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45198</v>
      </c>
      <c r="E454" s="1" t="n">
        <v>46226</v>
      </c>
      <c r="F454" t="inlineStr">
        <is>
          <t>JÖNKÖPINGS LÄN</t>
        </is>
      </c>
      <c r="G454" t="inlineStr">
        <is>
          <t>NÄSSJÖ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45590</v>
      </c>
      <c r="E455" s="1" t="n">
        <v>46226</v>
      </c>
      <c r="F455" t="inlineStr">
        <is>
          <t>JÖNKÖPINGS LÄN</t>
        </is>
      </c>
      <c r="G455" t="inlineStr">
        <is>
          <t>NÄSSJÖ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45595</v>
      </c>
      <c r="E456" s="1" t="n">
        <v>46226</v>
      </c>
      <c r="F456" t="inlineStr">
        <is>
          <t>JÖNKÖPINGS LÄN</t>
        </is>
      </c>
      <c r="G456" t="inlineStr">
        <is>
          <t>NÄSSJÖ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45236</v>
      </c>
      <c r="E457" s="1" t="n">
        <v>46226</v>
      </c>
      <c r="F457" t="inlineStr">
        <is>
          <t>JÖNKÖPINGS LÄN</t>
        </is>
      </c>
      <c r="G457" t="inlineStr">
        <is>
          <t>NÄSSJÖ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45419</v>
      </c>
      <c r="E458" s="1" t="n">
        <v>46226</v>
      </c>
      <c r="F458" t="inlineStr">
        <is>
          <t>JÖNKÖPINGS LÄN</t>
        </is>
      </c>
      <c r="G458" t="inlineStr">
        <is>
          <t>NÄSSJÖ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46226</v>
      </c>
      <c r="F459" t="inlineStr">
        <is>
          <t>JÖNKÖPINGS LÄN</t>
        </is>
      </c>
      <c r="G459" t="inlineStr">
        <is>
          <t>NÄSSJÖ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38658-2022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44813</v>
      </c>
      <c r="E460" s="1" t="n">
        <v>46226</v>
      </c>
      <c r="F460" t="inlineStr">
        <is>
          <t>JÖNKÖPINGS LÄN</t>
        </is>
      </c>
      <c r="G460" t="inlineStr">
        <is>
          <t>NÄSSJÖ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38783-2022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46226</v>
      </c>
      <c r="F461" t="inlineStr">
        <is>
          <t>JÖNKÖPINGS LÄN</t>
        </is>
      </c>
      <c r="G461" t="inlineStr">
        <is>
          <t>NÄSSJÖ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46226</v>
      </c>
      <c r="F462" t="inlineStr">
        <is>
          <t>JÖNKÖPINGS LÄN</t>
        </is>
      </c>
      <c r="G462" t="inlineStr">
        <is>
          <t>NÄSSJÖ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46226</v>
      </c>
      <c r="F463" t="inlineStr">
        <is>
          <t>JÖNKÖPINGS LÄN</t>
        </is>
      </c>
      <c r="G463" t="inlineStr">
        <is>
          <t>NÄSSJÖ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46226</v>
      </c>
      <c r="F464" t="inlineStr">
        <is>
          <t>JÖNKÖPINGS LÄN</t>
        </is>
      </c>
      <c r="G464" t="inlineStr">
        <is>
          <t>NÄSSJÖ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46226</v>
      </c>
      <c r="F465" t="inlineStr">
        <is>
          <t>JÖNKÖPINGS LÄN</t>
        </is>
      </c>
      <c r="G465" t="inlineStr">
        <is>
          <t>NÄSSJÖ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46226</v>
      </c>
      <c r="F466" t="inlineStr">
        <is>
          <t>JÖNKÖPINGS LÄN</t>
        </is>
      </c>
      <c r="G466" t="inlineStr">
        <is>
          <t>NÄSSJÖ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50836-2021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44460</v>
      </c>
      <c r="E467" s="1" t="n">
        <v>46226</v>
      </c>
      <c r="F467" t="inlineStr">
        <is>
          <t>JÖNKÖPINGS LÄN</t>
        </is>
      </c>
      <c r="G467" t="inlineStr">
        <is>
          <t>NÄSSJÖ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45132</v>
      </c>
      <c r="E468" s="1" t="n">
        <v>46226</v>
      </c>
      <c r="F468" t="inlineStr">
        <is>
          <t>JÖNKÖPINGS LÄN</t>
        </is>
      </c>
      <c r="G468" t="inlineStr">
        <is>
          <t>NÄSSJÖ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38795-2022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44816</v>
      </c>
      <c r="E469" s="1" t="n">
        <v>46226</v>
      </c>
      <c r="F469" t="inlineStr">
        <is>
          <t>JÖNKÖPINGS LÄN</t>
        </is>
      </c>
      <c r="G469" t="inlineStr">
        <is>
          <t>NÄSSJÖ</t>
        </is>
      </c>
      <c r="I469" t="n">
        <v>6.1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7654-2023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44972</v>
      </c>
      <c r="E470" s="1" t="n">
        <v>46226</v>
      </c>
      <c r="F470" t="inlineStr">
        <is>
          <t>JÖNKÖPINGS LÄN</t>
        </is>
      </c>
      <c r="G470" t="inlineStr">
        <is>
          <t>NÄSSJÖ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46226</v>
      </c>
      <c r="F471" t="inlineStr">
        <is>
          <t>JÖNKÖPINGS LÄN</t>
        </is>
      </c>
      <c r="G471" t="inlineStr">
        <is>
          <t>NÄSSJÖ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45373</v>
      </c>
      <c r="E472" s="1" t="n">
        <v>46226</v>
      </c>
      <c r="F472" t="inlineStr">
        <is>
          <t>JÖNKÖPINGS LÄN</t>
        </is>
      </c>
      <c r="G472" t="inlineStr">
        <is>
          <t>NÄSSJÖ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46226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11523-2023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44993</v>
      </c>
      <c r="E474" s="1" t="n">
        <v>46226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52669-2023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45219</v>
      </c>
      <c r="E475" s="1" t="n">
        <v>46226</v>
      </c>
      <c r="F475" t="inlineStr">
        <is>
          <t>JÖNKÖPINGS LÄN</t>
        </is>
      </c>
      <c r="G475" t="inlineStr">
        <is>
          <t>NÄSSJÖ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45695</v>
      </c>
      <c r="E476" s="1" t="n">
        <v>46226</v>
      </c>
      <c r="F476" t="inlineStr">
        <is>
          <t>JÖNKÖPINGS LÄN</t>
        </is>
      </c>
      <c r="G476" t="inlineStr">
        <is>
          <t>NÄSSJÖ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46226</v>
      </c>
      <c r="F477" t="inlineStr">
        <is>
          <t>JÖNKÖPINGS LÄN</t>
        </is>
      </c>
      <c r="G477" t="inlineStr">
        <is>
          <t>NÄSSJÖ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44564</v>
      </c>
      <c r="E478" s="1" t="n">
        <v>46226</v>
      </c>
      <c r="F478" t="inlineStr">
        <is>
          <t>JÖNKÖPINGS LÄN</t>
        </is>
      </c>
      <c r="G478" t="inlineStr">
        <is>
          <t>NÄSSJÖ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44985</v>
      </c>
      <c r="E479" s="1" t="n">
        <v>46226</v>
      </c>
      <c r="F479" t="inlineStr">
        <is>
          <t>JÖNKÖPINGS LÄN</t>
        </is>
      </c>
      <c r="G479" t="inlineStr">
        <is>
          <t>NÄSSJÖ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46226</v>
      </c>
      <c r="F480" t="inlineStr">
        <is>
          <t>JÖNKÖPINGS LÄN</t>
        </is>
      </c>
      <c r="G480" t="inlineStr">
        <is>
          <t>NÄSSJÖ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46226</v>
      </c>
      <c r="F481" t="inlineStr">
        <is>
          <t>JÖNKÖPINGS LÄN</t>
        </is>
      </c>
      <c r="G481" t="inlineStr">
        <is>
          <t>NÄSSJÖ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45617</v>
      </c>
      <c r="E482" s="1" t="n">
        <v>46226</v>
      </c>
      <c r="F482" t="inlineStr">
        <is>
          <t>JÖNKÖPINGS LÄN</t>
        </is>
      </c>
      <c r="G482" t="inlineStr">
        <is>
          <t>NÄSSJÖ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44766-2023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46226</v>
      </c>
      <c r="F483" t="inlineStr">
        <is>
          <t>JÖNKÖPINGS LÄN</t>
        </is>
      </c>
      <c r="G483" t="inlineStr">
        <is>
          <t>NÄSSJÖ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44617</v>
      </c>
      <c r="E484" s="1" t="n">
        <v>46226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46226</v>
      </c>
      <c r="F485" t="inlineStr">
        <is>
          <t>JÖNKÖPINGS LÄN</t>
        </is>
      </c>
      <c r="G485" t="inlineStr">
        <is>
          <t>NÄSSJÖ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40131-2021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44418</v>
      </c>
      <c r="E486" s="1" t="n">
        <v>46226</v>
      </c>
      <c r="F486" t="inlineStr">
        <is>
          <t>JÖNKÖPINGS LÄN</t>
        </is>
      </c>
      <c r="G486" t="inlineStr">
        <is>
          <t>NÄSSJÖ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8989-2023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46226</v>
      </c>
      <c r="F487" t="inlineStr">
        <is>
          <t>JÖNKÖPINGS LÄN</t>
        </is>
      </c>
      <c r="G487" t="inlineStr">
        <is>
          <t>NÄSSJÖ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45109</v>
      </c>
      <c r="E488" s="1" t="n">
        <v>46226</v>
      </c>
      <c r="F488" t="inlineStr">
        <is>
          <t>JÖNKÖPINGS LÄN</t>
        </is>
      </c>
      <c r="G488" t="inlineStr">
        <is>
          <t>NÄSSJÖ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14832-2023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45014</v>
      </c>
      <c r="E489" s="1" t="n">
        <v>46226</v>
      </c>
      <c r="F489" t="inlineStr">
        <is>
          <t>JÖNKÖPINGS LÄN</t>
        </is>
      </c>
      <c r="G489" t="inlineStr">
        <is>
          <t>NÄSSJÖ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44988</v>
      </c>
      <c r="E490" s="1" t="n">
        <v>46226</v>
      </c>
      <c r="F490" t="inlineStr">
        <is>
          <t>JÖNKÖPINGS LÄN</t>
        </is>
      </c>
      <c r="G490" t="inlineStr">
        <is>
          <t>NÄSSJÖ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59351-2022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44904</v>
      </c>
      <c r="E491" s="1" t="n">
        <v>46226</v>
      </c>
      <c r="F491" t="inlineStr">
        <is>
          <t>JÖNKÖPINGS LÄN</t>
        </is>
      </c>
      <c r="G491" t="inlineStr">
        <is>
          <t>NÄSSJÖ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56869-2022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44894</v>
      </c>
      <c r="E492" s="1" t="n">
        <v>46226</v>
      </c>
      <c r="F492" t="inlineStr">
        <is>
          <t>JÖNKÖPINGS LÄN</t>
        </is>
      </c>
      <c r="G492" t="inlineStr">
        <is>
          <t>NÄSSJÖ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45695</v>
      </c>
      <c r="E493" s="1" t="n">
        <v>46226</v>
      </c>
      <c r="F493" t="inlineStr">
        <is>
          <t>JÖNKÖPINGS LÄN</t>
        </is>
      </c>
      <c r="G493" t="inlineStr">
        <is>
          <t>NÄSSJÖ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46226</v>
      </c>
      <c r="F494" t="inlineStr">
        <is>
          <t>JÖNKÖPINGS LÄN</t>
        </is>
      </c>
      <c r="G494" t="inlineStr">
        <is>
          <t>NÄSSJÖ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45162</v>
      </c>
      <c r="E495" s="1" t="n">
        <v>46226</v>
      </c>
      <c r="F495" t="inlineStr">
        <is>
          <t>JÖNKÖPINGS LÄN</t>
        </is>
      </c>
      <c r="G495" t="inlineStr">
        <is>
          <t>NÄSSJÖ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41325-2022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44826</v>
      </c>
      <c r="E496" s="1" t="n">
        <v>46226</v>
      </c>
      <c r="F496" t="inlineStr">
        <is>
          <t>JÖNKÖPINGS LÄN</t>
        </is>
      </c>
      <c r="G496" t="inlineStr">
        <is>
          <t>NÄSSJÖ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44608</v>
      </c>
      <c r="E497" s="1" t="n">
        <v>46226</v>
      </c>
      <c r="F497" t="inlineStr">
        <is>
          <t>JÖNKÖPINGS LÄN</t>
        </is>
      </c>
      <c r="G497" t="inlineStr">
        <is>
          <t>NÄSSJÖ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44976</v>
      </c>
      <c r="E498" s="1" t="n">
        <v>46226</v>
      </c>
      <c r="F498" t="inlineStr">
        <is>
          <t>JÖNKÖPINGS LÄN</t>
        </is>
      </c>
      <c r="G498" t="inlineStr">
        <is>
          <t>NÄSSJÖ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45213</v>
      </c>
      <c r="E499" s="1" t="n">
        <v>46226</v>
      </c>
      <c r="F499" t="inlineStr">
        <is>
          <t>JÖNKÖPINGS LÄN</t>
        </is>
      </c>
      <c r="G499" t="inlineStr">
        <is>
          <t>NÄSSJÖ</t>
        </is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45343</v>
      </c>
      <c r="E500" s="1" t="n">
        <v>46226</v>
      </c>
      <c r="F500" t="inlineStr">
        <is>
          <t>JÖNKÖPINGS LÄN</t>
        </is>
      </c>
      <c r="G500" t="inlineStr">
        <is>
          <t>NÄSSJÖ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53960-2022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44881</v>
      </c>
      <c r="E501" s="1" t="n">
        <v>46226</v>
      </c>
      <c r="F501" t="inlineStr">
        <is>
          <t>JÖNKÖPINGS LÄN</t>
        </is>
      </c>
      <c r="G501" t="inlineStr">
        <is>
          <t>NÄSSJÖ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49376-2021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44454</v>
      </c>
      <c r="E502" s="1" t="n">
        <v>46226</v>
      </c>
      <c r="F502" t="inlineStr">
        <is>
          <t>JÖNKÖPINGS LÄN</t>
        </is>
      </c>
      <c r="G502" t="inlineStr">
        <is>
          <t>NÄSSJÖ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46226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44659</v>
      </c>
      <c r="E504" s="1" t="n">
        <v>46226</v>
      </c>
      <c r="F504" t="inlineStr">
        <is>
          <t>JÖNKÖPINGS LÄN</t>
        </is>
      </c>
      <c r="G504" t="inlineStr">
        <is>
          <t>NÄSSJÖ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61451-2023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45264</v>
      </c>
      <c r="E505" s="1" t="n">
        <v>46226</v>
      </c>
      <c r="F505" t="inlineStr">
        <is>
          <t>JÖNKÖPINGS LÄN</t>
        </is>
      </c>
      <c r="G505" t="inlineStr">
        <is>
          <t>NÄSSJÖ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45700</v>
      </c>
      <c r="E506" s="1" t="n">
        <v>46226</v>
      </c>
      <c r="F506" t="inlineStr">
        <is>
          <t>JÖNKÖPINGS LÄN</t>
        </is>
      </c>
      <c r="G506" t="inlineStr">
        <is>
          <t>NÄSSJÖ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61545-2022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46226</v>
      </c>
      <c r="F507" t="inlineStr">
        <is>
          <t>JÖNKÖPINGS LÄN</t>
        </is>
      </c>
      <c r="G507" t="inlineStr">
        <is>
          <t>NÄSSJÖ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9796-2023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44984</v>
      </c>
      <c r="E508" s="1" t="n">
        <v>46226</v>
      </c>
      <c r="F508" t="inlineStr">
        <is>
          <t>JÖNKÖPINGS LÄN</t>
        </is>
      </c>
      <c r="G508" t="inlineStr">
        <is>
          <t>NÄSSJÖ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45648-2024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46226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45187</v>
      </c>
      <c r="E510" s="1" t="n">
        <v>46226</v>
      </c>
      <c r="F510" t="inlineStr">
        <is>
          <t>JÖNKÖPINGS LÄN</t>
        </is>
      </c>
      <c r="G510" t="inlineStr">
        <is>
          <t>NÄSSJÖ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45308</v>
      </c>
      <c r="E511" s="1" t="n">
        <v>46226</v>
      </c>
      <c r="F511" t="inlineStr">
        <is>
          <t>JÖNKÖPINGS LÄN</t>
        </is>
      </c>
      <c r="G511" t="inlineStr">
        <is>
          <t>NÄSSJÖ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46226</v>
      </c>
      <c r="F512" t="inlineStr">
        <is>
          <t>JÖNKÖPINGS LÄN</t>
        </is>
      </c>
      <c r="G512" t="inlineStr">
        <is>
          <t>NÄSSJÖ</t>
        </is>
      </c>
      <c r="H512" t="inlineStr">
        <is>
          <t>Kommuner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46226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63630-2023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45275</v>
      </c>
      <c r="E514" s="1" t="n">
        <v>46226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46226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17933-2025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45760</v>
      </c>
      <c r="E516" s="1" t="n">
        <v>46226</v>
      </c>
      <c r="F516" t="inlineStr">
        <is>
          <t>JÖNKÖPINGS LÄN</t>
        </is>
      </c>
      <c r="G516" t="inlineStr">
        <is>
          <t>NÄSSJÖ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45760</v>
      </c>
      <c r="E517" s="1" t="n">
        <v>46226</v>
      </c>
      <c r="F517" t="inlineStr">
        <is>
          <t>JÖNKÖPINGS LÄN</t>
        </is>
      </c>
      <c r="G517" t="inlineStr">
        <is>
          <t>NÄSSJÖ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17943-2025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45760</v>
      </c>
      <c r="E518" s="1" t="n">
        <v>46226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45732</v>
      </c>
      <c r="E519" s="1" t="n">
        <v>46226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63628-2023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45275</v>
      </c>
      <c r="E520" s="1" t="n">
        <v>46226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46226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46226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46226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15993-2022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44665</v>
      </c>
      <c r="E524" s="1" t="n">
        <v>46226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52236-2021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44463</v>
      </c>
      <c r="E525" s="1" t="n">
        <v>46226</v>
      </c>
      <c r="F525" t="inlineStr">
        <is>
          <t>JÖNKÖPINGS LÄN</t>
        </is>
      </c>
      <c r="G525" t="inlineStr">
        <is>
          <t>NÄSSJÖ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46580-2022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44848</v>
      </c>
      <c r="E526" s="1" t="n">
        <v>46226</v>
      </c>
      <c r="F526" t="inlineStr">
        <is>
          <t>JÖNKÖPINGS LÄN</t>
        </is>
      </c>
      <c r="G526" t="inlineStr">
        <is>
          <t>NÄSSJÖ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45309</v>
      </c>
      <c r="E527" s="1" t="n">
        <v>46226</v>
      </c>
      <c r="F527" t="inlineStr">
        <is>
          <t>JÖNKÖPINGS LÄN</t>
        </is>
      </c>
      <c r="G527" t="inlineStr">
        <is>
          <t>NÄSSJÖ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46226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44874</v>
      </c>
      <c r="E529" s="1" t="n">
        <v>46226</v>
      </c>
      <c r="F529" t="inlineStr">
        <is>
          <t>JÖNKÖPINGS LÄN</t>
        </is>
      </c>
      <c r="G529" t="inlineStr">
        <is>
          <t>NÄSSJÖ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45273</v>
      </c>
      <c r="E530" s="1" t="n">
        <v>46226</v>
      </c>
      <c r="F530" t="inlineStr">
        <is>
          <t>JÖNKÖPINGS LÄN</t>
        </is>
      </c>
      <c r="G530" t="inlineStr">
        <is>
          <t>NÄSSJÖ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46226</v>
      </c>
      <c r="F531" t="inlineStr">
        <is>
          <t>JÖNKÖPINGS LÄN</t>
        </is>
      </c>
      <c r="G531" t="inlineStr">
        <is>
          <t>NÄSSJÖ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45734</v>
      </c>
      <c r="E532" s="1" t="n">
        <v>46226</v>
      </c>
      <c r="F532" t="inlineStr">
        <is>
          <t>JÖNKÖPINGS LÄN</t>
        </is>
      </c>
      <c r="G532" t="inlineStr">
        <is>
          <t>NÄSSJÖ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45163</v>
      </c>
      <c r="E533" s="1" t="n">
        <v>46226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44603</v>
      </c>
      <c r="E534" s="1" t="n">
        <v>46226</v>
      </c>
      <c r="F534" t="inlineStr">
        <is>
          <t>JÖNKÖPINGS LÄN</t>
        </is>
      </c>
      <c r="G534" t="inlineStr">
        <is>
          <t>NÄSSJÖ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45307</v>
      </c>
      <c r="E535" s="1" t="n">
        <v>46226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45316</v>
      </c>
      <c r="E536" s="1" t="n">
        <v>46226</v>
      </c>
      <c r="F536" t="inlineStr">
        <is>
          <t>JÖNKÖPINGS LÄN</t>
        </is>
      </c>
      <c r="G536" t="inlineStr">
        <is>
          <t>NÄSSJÖ</t>
        </is>
      </c>
      <c r="H536" t="inlineStr">
        <is>
          <t>Kyrkan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58533-2022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44902</v>
      </c>
      <c r="E537" s="1" t="n">
        <v>46226</v>
      </c>
      <c r="F537" t="inlineStr">
        <is>
          <t>JÖNKÖPINGS LÄN</t>
        </is>
      </c>
      <c r="G537" t="inlineStr">
        <is>
          <t>NÄSSJÖ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46226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17946-2025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45760</v>
      </c>
      <c r="E539" s="1" t="n">
        <v>46226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45013</v>
      </c>
      <c r="E540" s="1" t="n">
        <v>46226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45109</v>
      </c>
      <c r="E541" s="1" t="n">
        <v>46226</v>
      </c>
      <c r="F541" t="inlineStr">
        <is>
          <t>JÖNKÖPINGS LÄN</t>
        </is>
      </c>
      <c r="G541" t="inlineStr">
        <is>
          <t>NÄSSJÖ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45602</v>
      </c>
      <c r="E542" s="1" t="n">
        <v>46226</v>
      </c>
      <c r="F542" t="inlineStr">
        <is>
          <t>JÖNKÖPINGS LÄN</t>
        </is>
      </c>
      <c r="G542" t="inlineStr">
        <is>
          <t>NÄSSJÖ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4327-2025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45685</v>
      </c>
      <c r="E543" s="1" t="n">
        <v>46226</v>
      </c>
      <c r="F543" t="inlineStr">
        <is>
          <t>JÖNKÖPINGS LÄN</t>
        </is>
      </c>
      <c r="G543" t="inlineStr">
        <is>
          <t>NÄSSJÖ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46226</v>
      </c>
      <c r="F544" t="inlineStr">
        <is>
          <t>JÖNKÖPINGS LÄN</t>
        </is>
      </c>
      <c r="G544" t="inlineStr">
        <is>
          <t>NÄSSJÖ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46226</v>
      </c>
      <c r="F545" t="inlineStr">
        <is>
          <t>JÖNKÖPINGS LÄN</t>
        </is>
      </c>
      <c r="G545" t="inlineStr">
        <is>
          <t>NÄSSJÖ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45328</v>
      </c>
      <c r="E546" s="1" t="n">
        <v>46226</v>
      </c>
      <c r="F546" t="inlineStr">
        <is>
          <t>JÖNKÖPINGS LÄN</t>
        </is>
      </c>
      <c r="G546" t="inlineStr">
        <is>
          <t>NÄSSJÖ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44965</v>
      </c>
      <c r="E547" s="1" t="n">
        <v>46226</v>
      </c>
      <c r="F547" t="inlineStr">
        <is>
          <t>JÖNKÖPINGS LÄN</t>
        </is>
      </c>
      <c r="G547" t="inlineStr">
        <is>
          <t>NÄSSJÖ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39485-2024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45551</v>
      </c>
      <c r="E548" s="1" t="n">
        <v>46226</v>
      </c>
      <c r="F548" t="inlineStr">
        <is>
          <t>JÖNKÖPINGS LÄN</t>
        </is>
      </c>
      <c r="G548" t="inlineStr">
        <is>
          <t>NÄSSJÖ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63695-2023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45275</v>
      </c>
      <c r="E549" s="1" t="n">
        <v>46226</v>
      </c>
      <c r="F549" t="inlineStr">
        <is>
          <t>JÖNKÖPINGS LÄN</t>
        </is>
      </c>
      <c r="G549" t="inlineStr">
        <is>
          <t>NÄSSJÖ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63743-2023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45277</v>
      </c>
      <c r="E550" s="1" t="n">
        <v>46226</v>
      </c>
      <c r="F550" t="inlineStr">
        <is>
          <t>JÖNKÖPINGS LÄN</t>
        </is>
      </c>
      <c r="G550" t="inlineStr">
        <is>
          <t>NÄSSJÖ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52972-2024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46226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46226</v>
      </c>
      <c r="F552" t="inlineStr">
        <is>
          <t>JÖNKÖPINGS LÄN</t>
        </is>
      </c>
      <c r="G552" t="inlineStr">
        <is>
          <t>NÄSSJÖ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46226</v>
      </c>
      <c r="F553" t="inlineStr">
        <is>
          <t>JÖNKÖPINGS LÄN</t>
        </is>
      </c>
      <c r="G553" t="inlineStr">
        <is>
          <t>NÄSSJÖ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46226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46226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46226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46226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46226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46226</v>
      </c>
      <c r="F559" t="inlineStr">
        <is>
          <t>JÖNKÖPINGS LÄN</t>
        </is>
      </c>
      <c r="G559" t="inlineStr">
        <is>
          <t>NÄSSJÖ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46226</v>
      </c>
      <c r="F560" t="inlineStr">
        <is>
          <t>JÖNKÖPINGS LÄN</t>
        </is>
      </c>
      <c r="G560" t="inlineStr">
        <is>
          <t>NÄSSJÖ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46226</v>
      </c>
      <c r="F561" t="inlineStr">
        <is>
          <t>JÖNKÖPINGS LÄN</t>
        </is>
      </c>
      <c r="G561" t="inlineStr">
        <is>
          <t>NÄSSJÖ</t>
        </is>
      </c>
      <c r="I561" t="n">
        <v>10.4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46226</v>
      </c>
      <c r="F562" t="inlineStr">
        <is>
          <t>JÖNKÖPINGS LÄN</t>
        </is>
      </c>
      <c r="G562" t="inlineStr">
        <is>
          <t>NÄSSJÖ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46226</v>
      </c>
      <c r="F563" t="inlineStr">
        <is>
          <t>JÖNKÖPINGS LÄN</t>
        </is>
      </c>
      <c r="G563" t="inlineStr">
        <is>
          <t>NÄSSJÖ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45795</v>
      </c>
      <c r="E564" s="1" t="n">
        <v>46226</v>
      </c>
      <c r="F564" t="inlineStr">
        <is>
          <t>JÖNKÖPINGS LÄN</t>
        </is>
      </c>
      <c r="G564" t="inlineStr">
        <is>
          <t>NÄSSJÖ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60724-2023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45260</v>
      </c>
      <c r="E565" s="1" t="n">
        <v>46226</v>
      </c>
      <c r="F565" t="inlineStr">
        <is>
          <t>JÖNKÖPINGS LÄN</t>
        </is>
      </c>
      <c r="G565" t="inlineStr">
        <is>
          <t>NÄSSJÖ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23925-2025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45795</v>
      </c>
      <c r="E566" s="1" t="n">
        <v>46226</v>
      </c>
      <c r="F566" t="inlineStr">
        <is>
          <t>JÖNKÖPINGS LÄN</t>
        </is>
      </c>
      <c r="G566" t="inlineStr">
        <is>
          <t>NÄSSJÖ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46226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14641-2025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46226</v>
      </c>
      <c r="F568" t="inlineStr">
        <is>
          <t>JÖNKÖPINGS LÄN</t>
        </is>
      </c>
      <c r="G568" t="inlineStr">
        <is>
          <t>NÄSSJÖ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45356</v>
      </c>
      <c r="E569" s="1" t="n">
        <v>46226</v>
      </c>
      <c r="F569" t="inlineStr">
        <is>
          <t>JÖNKÖPINGS LÄN</t>
        </is>
      </c>
      <c r="G569" t="inlineStr">
        <is>
          <t>NÄSSJÖ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12710-2025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46226</v>
      </c>
      <c r="F570" t="inlineStr">
        <is>
          <t>JÖNKÖPINGS LÄN</t>
        </is>
      </c>
      <c r="G570" t="inlineStr">
        <is>
          <t>NÄSSJÖ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10946-2025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45723</v>
      </c>
      <c r="E571" s="1" t="n">
        <v>46226</v>
      </c>
      <c r="F571" t="inlineStr">
        <is>
          <t>JÖNKÖPINGS LÄN</t>
        </is>
      </c>
      <c r="G571" t="inlineStr">
        <is>
          <t>NÄSSJÖ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45729</v>
      </c>
      <c r="E572" s="1" t="n">
        <v>46226</v>
      </c>
      <c r="F572" t="inlineStr">
        <is>
          <t>JÖNKÖPINGS LÄN</t>
        </is>
      </c>
      <c r="G572" t="inlineStr">
        <is>
          <t>NÄSSJÖ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46226</v>
      </c>
      <c r="F573" t="inlineStr">
        <is>
          <t>JÖNKÖPINGS LÄN</t>
        </is>
      </c>
      <c r="G573" t="inlineStr">
        <is>
          <t>NÄSSJÖ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46226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46226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46226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46226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46226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46226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46226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46226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46226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46226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46226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46226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46226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46226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46226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46226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46226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46226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46226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46226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46226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46226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46226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46226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46226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46226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46226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2026-07-23T01:43:09Z</dcterms:created>
  <dcterms:modified xmlns:dcterms="http://purl.org/dc/terms/" xmlns:xsi="http://www.w3.org/2001/XMLSchema-instance" xsi:type="dcterms:W3CDTF">2026-07-23T01:43:10Z</dcterms:modified>
</cp:coreProperties>
</file>