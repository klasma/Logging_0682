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45925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45925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45925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45925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45925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34909-2024</t>
        </is>
      </c>
      <c r="B10" s="1" t="n">
        <v>45527.42421296296</v>
      </c>
      <c r="C10" s="1" t="n">
        <v>45925</v>
      </c>
      <c r="D10" t="inlineStr">
        <is>
          <t>JÖNKÖPINGS LÄN</t>
        </is>
      </c>
      <c r="E10" t="inlineStr">
        <is>
          <t>NÄSSJÖ</t>
        </is>
      </c>
      <c r="G10" t="n">
        <v>5.8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34909-2024 artfynd.xlsx", "A 34909-2024")</f>
        <v/>
      </c>
      <c r="T10">
        <f>HYPERLINK("https://klasma.github.io/Logging_0682/kartor/A 34909-2024 karta.png", "A 34909-2024")</f>
        <v/>
      </c>
      <c r="V10">
        <f>HYPERLINK("https://klasma.github.io/Logging_0682/klagomål/A 34909-2024 FSC-klagomål.docx", "A 34909-2024")</f>
        <v/>
      </c>
      <c r="W10">
        <f>HYPERLINK("https://klasma.github.io/Logging_0682/klagomålsmail/A 34909-2024 FSC-klagomål mail.docx", "A 34909-2024")</f>
        <v/>
      </c>
      <c r="X10">
        <f>HYPERLINK("https://klasma.github.io/Logging_0682/tillsyn/A 34909-2024 tillsynsbegäran.docx", "A 34909-2024")</f>
        <v/>
      </c>
      <c r="Y10">
        <f>HYPERLINK("https://klasma.github.io/Logging_0682/tillsynsmail/A 34909-2024 tillsynsbegäran mail.docx", "A 34909-2024")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45925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45925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45925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45925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45925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45925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45048-2025</t>
        </is>
      </c>
      <c r="B17" s="1" t="n">
        <v>45919</v>
      </c>
      <c r="C17" s="1" t="n">
        <v>45925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45048-2025 artfynd.xlsx", "A 45048-2025")</f>
        <v/>
      </c>
      <c r="T17">
        <f>HYPERLINK("https://klasma.github.io/Logging_0682/kartor/A 45048-2025 karta.png", "A 45048-2025")</f>
        <v/>
      </c>
      <c r="U17">
        <f>HYPERLINK("https://klasma.github.io/Logging_0682/knärot/A 45048-2025 karta knärot.png", "A 45048-2025")</f>
        <v/>
      </c>
      <c r="V17">
        <f>HYPERLINK("https://klasma.github.io/Logging_0682/klagomål/A 45048-2025 FSC-klagomål.docx", "A 45048-2025")</f>
        <v/>
      </c>
      <c r="W17">
        <f>HYPERLINK("https://klasma.github.io/Logging_0682/klagomålsmail/A 45048-2025 FSC-klagomål mail.docx", "A 45048-2025")</f>
        <v/>
      </c>
      <c r="X17">
        <f>HYPERLINK("https://klasma.github.io/Logging_0682/tillsyn/A 45048-2025 tillsynsbegäran.docx", "A 45048-2025")</f>
        <v/>
      </c>
      <c r="Y17">
        <f>HYPERLINK("https://klasma.github.io/Logging_0682/tillsynsmail/A 45048-2025 tillsynsbegäran mail.docx", "A 45048-2025")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45925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45925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45925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45925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42206-2021</t>
        </is>
      </c>
      <c r="B22" s="1" t="n">
        <v>44426.73547453704</v>
      </c>
      <c r="C22" s="1" t="n">
        <v>45925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11556-2021</t>
        </is>
      </c>
      <c r="B23" s="1" t="n">
        <v>44264</v>
      </c>
      <c r="C23" s="1" t="n">
        <v>45925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8520-2022</t>
        </is>
      </c>
      <c r="B24" s="1" t="n">
        <v>44613.44670138889</v>
      </c>
      <c r="C24" s="1" t="n">
        <v>45925</v>
      </c>
      <c r="D24" t="inlineStr">
        <is>
          <t>JÖNKÖPINGS LÄN</t>
        </is>
      </c>
      <c r="E24" t="inlineStr">
        <is>
          <t>NÄSSJÖ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45925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5445-2021</t>
        </is>
      </c>
      <c r="B26" s="1" t="n">
        <v>44229</v>
      </c>
      <c r="C26" s="1" t="n">
        <v>45925</v>
      </c>
      <c r="D26" t="inlineStr">
        <is>
          <t>JÖNKÖPINGS LÄN</t>
        </is>
      </c>
      <c r="E26" t="inlineStr">
        <is>
          <t>NÄSSJÖ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45925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45925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45925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4186-2021</t>
        </is>
      </c>
      <c r="B30" s="1" t="n">
        <v>44221</v>
      </c>
      <c r="C30" s="1" t="n">
        <v>45925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45925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45925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63116-2020</t>
        </is>
      </c>
      <c r="B33" s="1" t="n">
        <v>44162</v>
      </c>
      <c r="C33" s="1" t="n">
        <v>45925</v>
      </c>
      <c r="D33" t="inlineStr">
        <is>
          <t>JÖNKÖPINGS LÄN</t>
        </is>
      </c>
      <c r="E33" t="inlineStr">
        <is>
          <t>NÄSSJÖ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67969-2020</t>
        </is>
      </c>
      <c r="B34" s="1" t="n">
        <v>44182</v>
      </c>
      <c r="C34" s="1" t="n">
        <v>45925</v>
      </c>
      <c r="D34" t="inlineStr">
        <is>
          <t>JÖNKÖPINGS LÄN</t>
        </is>
      </c>
      <c r="E34" t="inlineStr">
        <is>
          <t>NÄSSJÖ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45925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45925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45925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45925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45925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45925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45925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45925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45925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45925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45925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45925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45925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45925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45925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45925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45925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45925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45925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45925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45925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45925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45925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45925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45925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45925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45925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45925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45925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45925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45925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45925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45925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45925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45925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45925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45925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45925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45925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45925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45925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45925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45925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45925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45925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45925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45925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45925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45925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45925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45925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45925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45925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45925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45925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45925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45925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45925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45925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45925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45925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45925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45925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45925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45925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45925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45925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63130-2020</t>
        </is>
      </c>
      <c r="B102" s="1" t="n">
        <v>44162</v>
      </c>
      <c r="C102" s="1" t="n">
        <v>45925</v>
      </c>
      <c r="D102" t="inlineStr">
        <is>
          <t>JÖNKÖPINGS LÄN</t>
        </is>
      </c>
      <c r="E102" t="inlineStr">
        <is>
          <t>NÄSSJÖ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28972-2021</t>
        </is>
      </c>
      <c r="B103" s="1" t="n">
        <v>44358.40704861111</v>
      </c>
      <c r="C103" s="1" t="n">
        <v>45925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16314-2022</t>
        </is>
      </c>
      <c r="B104" s="1" t="n">
        <v>44670</v>
      </c>
      <c r="C104" s="1" t="n">
        <v>45925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17369-2022</t>
        </is>
      </c>
      <c r="B105" s="1" t="n">
        <v>44678.61560185185</v>
      </c>
      <c r="C105" s="1" t="n">
        <v>45925</v>
      </c>
      <c r="D105" t="inlineStr">
        <is>
          <t>JÖNKÖPINGS LÄN</t>
        </is>
      </c>
      <c r="E105" t="inlineStr">
        <is>
          <t>NÄSSJÖ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29183-2022</t>
        </is>
      </c>
      <c r="B106" s="1" t="n">
        <v>44750.54332175926</v>
      </c>
      <c r="C106" s="1" t="n">
        <v>45925</v>
      </c>
      <c r="D106" t="inlineStr">
        <is>
          <t>JÖNKÖPINGS LÄN</t>
        </is>
      </c>
      <c r="E106" t="inlineStr">
        <is>
          <t>NÄSSJÖ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45925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45925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45925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50389-2020</t>
        </is>
      </c>
      <c r="B110" s="1" t="n">
        <v>44105</v>
      </c>
      <c r="C110" s="1" t="n">
        <v>45925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67599-2021</t>
        </is>
      </c>
      <c r="B111" s="1" t="n">
        <v>44524.6277662037</v>
      </c>
      <c r="C111" s="1" t="n">
        <v>45925</v>
      </c>
      <c r="D111" t="inlineStr">
        <is>
          <t>JÖNKÖPINGS LÄN</t>
        </is>
      </c>
      <c r="E111" t="inlineStr">
        <is>
          <t>NÄSSJÖ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47962-2020</t>
        </is>
      </c>
      <c r="B112" s="1" t="n">
        <v>44099</v>
      </c>
      <c r="C112" s="1" t="n">
        <v>45925</v>
      </c>
      <c r="D112" t="inlineStr">
        <is>
          <t>JÖNKÖPINGS LÄN</t>
        </is>
      </c>
      <c r="E112" t="inlineStr">
        <is>
          <t>NÄSSJÖ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48151-2022</t>
        </is>
      </c>
      <c r="B113" s="1" t="n">
        <v>44858.33900462963</v>
      </c>
      <c r="C113" s="1" t="n">
        <v>45925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40166-2021</t>
        </is>
      </c>
      <c r="B114" s="1" t="n">
        <v>44418.66804398148</v>
      </c>
      <c r="C114" s="1" t="n">
        <v>45925</v>
      </c>
      <c r="D114" t="inlineStr">
        <is>
          <t>JÖNKÖPINGS LÄN</t>
        </is>
      </c>
      <c r="E114" t="inlineStr">
        <is>
          <t>NÄSSJÖ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38795-2022</t>
        </is>
      </c>
      <c r="B115" s="1" t="n">
        <v>44816.43815972222</v>
      </c>
      <c r="C115" s="1" t="n">
        <v>45925</v>
      </c>
      <c r="D115" t="inlineStr">
        <is>
          <t>JÖNKÖPINGS LÄN</t>
        </is>
      </c>
      <c r="E115" t="inlineStr">
        <is>
          <t>NÄSSJÖ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54514-2024</t>
        </is>
      </c>
      <c r="B116" s="1" t="n">
        <v>45617.5908449074</v>
      </c>
      <c r="C116" s="1" t="n">
        <v>45925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28377-2021</t>
        </is>
      </c>
      <c r="B117" s="1" t="n">
        <v>44356.45002314815</v>
      </c>
      <c r="C117" s="1" t="n">
        <v>45925</v>
      </c>
      <c r="D117" t="inlineStr">
        <is>
          <t>JÖNKÖPINGS LÄN</t>
        </is>
      </c>
      <c r="E117" t="inlineStr">
        <is>
          <t>NÄSSJÖ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26452-2021</t>
        </is>
      </c>
      <c r="B118" s="1" t="n">
        <v>44348</v>
      </c>
      <c r="C118" s="1" t="n">
        <v>45925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10436-2025</t>
        </is>
      </c>
      <c r="B119" s="1" t="n">
        <v>45720.67452546296</v>
      </c>
      <c r="C119" s="1" t="n">
        <v>45925</v>
      </c>
      <c r="D119" t="inlineStr">
        <is>
          <t>JÖNKÖPINGS LÄN</t>
        </is>
      </c>
      <c r="E119" t="inlineStr">
        <is>
          <t>NÄSSJÖ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13923-2021</t>
        </is>
      </c>
      <c r="B120" s="1" t="n">
        <v>44277</v>
      </c>
      <c r="C120" s="1" t="n">
        <v>45925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51136-2023</t>
        </is>
      </c>
      <c r="B121" s="1" t="n">
        <v>45219</v>
      </c>
      <c r="C121" s="1" t="n">
        <v>45925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55466-2022</t>
        </is>
      </c>
      <c r="B122" s="1" t="n">
        <v>44887.65707175926</v>
      </c>
      <c r="C122" s="1" t="n">
        <v>45925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34005-2021</t>
        </is>
      </c>
      <c r="B123" s="1" t="n">
        <v>44379.33491898148</v>
      </c>
      <c r="C123" s="1" t="n">
        <v>45925</v>
      </c>
      <c r="D123" t="inlineStr">
        <is>
          <t>JÖNKÖPINGS LÄN</t>
        </is>
      </c>
      <c r="E123" t="inlineStr">
        <is>
          <t>NÄSSJÖ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7086-2024</t>
        </is>
      </c>
      <c r="B124" s="1" t="n">
        <v>45343.79310185185</v>
      </c>
      <c r="C124" s="1" t="n">
        <v>45925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41325-2022</t>
        </is>
      </c>
      <c r="B125" s="1" t="n">
        <v>44826</v>
      </c>
      <c r="C125" s="1" t="n">
        <v>45925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38658-2022</t>
        </is>
      </c>
      <c r="B126" s="1" t="n">
        <v>44813.75790509259</v>
      </c>
      <c r="C126" s="1" t="n">
        <v>45925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9451-2024</t>
        </is>
      </c>
      <c r="B127" s="1" t="n">
        <v>45358</v>
      </c>
      <c r="C127" s="1" t="n">
        <v>45925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54303-2021</t>
        </is>
      </c>
      <c r="B128" s="1" t="n">
        <v>44472.45174768518</v>
      </c>
      <c r="C128" s="1" t="n">
        <v>45925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12103-2024</t>
        </is>
      </c>
      <c r="B129" s="1" t="n">
        <v>45377</v>
      </c>
      <c r="C129" s="1" t="n">
        <v>45925</v>
      </c>
      <c r="D129" t="inlineStr">
        <is>
          <t>JÖNKÖPINGS LÄN</t>
        </is>
      </c>
      <c r="E129" t="inlineStr">
        <is>
          <t>NÄSSJÖ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26015-2021</t>
        </is>
      </c>
      <c r="B130" s="1" t="n">
        <v>44344</v>
      </c>
      <c r="C130" s="1" t="n">
        <v>45925</v>
      </c>
      <c r="D130" t="inlineStr">
        <is>
          <t>JÖNKÖPINGS LÄN</t>
        </is>
      </c>
      <c r="E130" t="inlineStr">
        <is>
          <t>NÄSSJÖ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47709-2023</t>
        </is>
      </c>
      <c r="B131" s="1" t="n">
        <v>45203.64381944444</v>
      </c>
      <c r="C131" s="1" t="n">
        <v>45925</v>
      </c>
      <c r="D131" t="inlineStr">
        <is>
          <t>JÖNKÖPINGS LÄN</t>
        </is>
      </c>
      <c r="E131" t="inlineStr">
        <is>
          <t>NÄSSJÖ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5514-2021</t>
        </is>
      </c>
      <c r="B132" s="1" t="n">
        <v>44228</v>
      </c>
      <c r="C132" s="1" t="n">
        <v>45925</v>
      </c>
      <c r="D132" t="inlineStr">
        <is>
          <t>JÖNKÖPINGS LÄN</t>
        </is>
      </c>
      <c r="E132" t="inlineStr">
        <is>
          <t>NÄSSJÖ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11851-2022</t>
        </is>
      </c>
      <c r="B133" s="1" t="n">
        <v>44635.29614583333</v>
      </c>
      <c r="C133" s="1" t="n">
        <v>45925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3884-2024</t>
        </is>
      </c>
      <c r="B134" s="1" t="n">
        <v>45322</v>
      </c>
      <c r="C134" s="1" t="n">
        <v>45925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37946-2022</t>
        </is>
      </c>
      <c r="B135" s="1" t="n">
        <v>44811.48283564814</v>
      </c>
      <c r="C135" s="1" t="n">
        <v>45925</v>
      </c>
      <c r="D135" t="inlineStr">
        <is>
          <t>JÖNKÖPINGS LÄN</t>
        </is>
      </c>
      <c r="E135" t="inlineStr">
        <is>
          <t>NÄSSJÖ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55461-2022</t>
        </is>
      </c>
      <c r="B136" s="1" t="n">
        <v>44887.6541087963</v>
      </c>
      <c r="C136" s="1" t="n">
        <v>45925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14037-2022</t>
        </is>
      </c>
      <c r="B137" s="1" t="n">
        <v>44650</v>
      </c>
      <c r="C137" s="1" t="n">
        <v>45925</v>
      </c>
      <c r="D137" t="inlineStr">
        <is>
          <t>JÖNKÖPINGS LÄN</t>
        </is>
      </c>
      <c r="E137" t="inlineStr">
        <is>
          <t>NÄSSJÖ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6458-2021</t>
        </is>
      </c>
      <c r="B138" s="1" t="n">
        <v>44235</v>
      </c>
      <c r="C138" s="1" t="n">
        <v>45925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625-2022</t>
        </is>
      </c>
      <c r="B139" s="1" t="n">
        <v>44568</v>
      </c>
      <c r="C139" s="1" t="n">
        <v>45925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9693-2022</t>
        </is>
      </c>
      <c r="B140" s="1" t="n">
        <v>44617</v>
      </c>
      <c r="C140" s="1" t="n">
        <v>45925</v>
      </c>
      <c r="D140" t="inlineStr">
        <is>
          <t>JÖNKÖPINGS LÄN</t>
        </is>
      </c>
      <c r="E140" t="inlineStr">
        <is>
          <t>NÄSSJÖ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35880-2021</t>
        </is>
      </c>
      <c r="B141" s="1" t="n">
        <v>44387.37766203703</v>
      </c>
      <c r="C141" s="1" t="n">
        <v>45925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43156-2024</t>
        </is>
      </c>
      <c r="B142" s="1" t="n">
        <v>45567.64372685185</v>
      </c>
      <c r="C142" s="1" t="n">
        <v>45925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65611-2020</t>
        </is>
      </c>
      <c r="B143" s="1" t="n">
        <v>44173</v>
      </c>
      <c r="C143" s="1" t="n">
        <v>45925</v>
      </c>
      <c r="D143" t="inlineStr">
        <is>
          <t>JÖNKÖPINGS LÄN</t>
        </is>
      </c>
      <c r="E143" t="inlineStr">
        <is>
          <t>NÄSSJÖ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15829-2024</t>
        </is>
      </c>
      <c r="B144" s="1" t="n">
        <v>45404</v>
      </c>
      <c r="C144" s="1" t="n">
        <v>45925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20007-2021</t>
        </is>
      </c>
      <c r="B145" s="1" t="n">
        <v>44313</v>
      </c>
      <c r="C145" s="1" t="n">
        <v>45925</v>
      </c>
      <c r="D145" t="inlineStr">
        <is>
          <t>JÖNKÖPINGS LÄN</t>
        </is>
      </c>
      <c r="E145" t="inlineStr">
        <is>
          <t>NÄSSJÖ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39555-2025</t>
        </is>
      </c>
      <c r="B146" s="1" t="n">
        <v>45890.46839120371</v>
      </c>
      <c r="C146" s="1" t="n">
        <v>45925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39713-2025</t>
        </is>
      </c>
      <c r="B147" s="1" t="n">
        <v>45890.88939814815</v>
      </c>
      <c r="C147" s="1" t="n">
        <v>45925</v>
      </c>
      <c r="D147" t="inlineStr">
        <is>
          <t>JÖNKÖPINGS LÄN</t>
        </is>
      </c>
      <c r="E147" t="inlineStr">
        <is>
          <t>NÄSSJÖ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4699-2024</t>
        </is>
      </c>
      <c r="B148" s="1" t="n">
        <v>45328.54533564814</v>
      </c>
      <c r="C148" s="1" t="n">
        <v>45925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5433-2025</t>
        </is>
      </c>
      <c r="B149" s="1" t="n">
        <v>45692.76652777778</v>
      </c>
      <c r="C149" s="1" t="n">
        <v>45925</v>
      </c>
      <c r="D149" t="inlineStr">
        <is>
          <t>JÖNKÖPINGS LÄN</t>
        </is>
      </c>
      <c r="E149" t="inlineStr">
        <is>
          <t>NÄSSJÖ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9962-2024</t>
        </is>
      </c>
      <c r="B150" s="1" t="n">
        <v>45363.64902777778</v>
      </c>
      <c r="C150" s="1" t="n">
        <v>45925</v>
      </c>
      <c r="D150" t="inlineStr">
        <is>
          <t>JÖNKÖPINGS LÄN</t>
        </is>
      </c>
      <c r="E150" t="inlineStr">
        <is>
          <t>NÄSSJÖ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56473-2024</t>
        </is>
      </c>
      <c r="B151" s="1" t="n">
        <v>45625.46094907408</v>
      </c>
      <c r="C151" s="1" t="n">
        <v>45925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48920-2020</t>
        </is>
      </c>
      <c r="B152" s="1" t="n">
        <v>44102</v>
      </c>
      <c r="C152" s="1" t="n">
        <v>45925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29947-2024</t>
        </is>
      </c>
      <c r="B153" s="1" t="n">
        <v>45488</v>
      </c>
      <c r="C153" s="1" t="n">
        <v>45925</v>
      </c>
      <c r="D153" t="inlineStr">
        <is>
          <t>JÖNKÖPINGS LÄN</t>
        </is>
      </c>
      <c r="E153" t="inlineStr">
        <is>
          <t>NÄSSJÖ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59348-2022</t>
        </is>
      </c>
      <c r="B154" s="1" t="n">
        <v>44904.68769675926</v>
      </c>
      <c r="C154" s="1" t="n">
        <v>45925</v>
      </c>
      <c r="D154" t="inlineStr">
        <is>
          <t>JÖNKÖPINGS LÄN</t>
        </is>
      </c>
      <c r="E154" t="inlineStr">
        <is>
          <t>NÄSSJÖ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64057-2023</t>
        </is>
      </c>
      <c r="B155" s="1" t="n">
        <v>45279.35089120371</v>
      </c>
      <c r="C155" s="1" t="n">
        <v>45925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17285-2021</t>
        </is>
      </c>
      <c r="B156" s="1" t="n">
        <v>44298</v>
      </c>
      <c r="C156" s="1" t="n">
        <v>45925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49880-2023</t>
        </is>
      </c>
      <c r="B157" s="1" t="n">
        <v>45213</v>
      </c>
      <c r="C157" s="1" t="n">
        <v>45925</v>
      </c>
      <c r="D157" t="inlineStr">
        <is>
          <t>JÖNKÖPINGS LÄN</t>
        </is>
      </c>
      <c r="E157" t="inlineStr">
        <is>
          <t>NÄSSJÖ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2911-2023</t>
        </is>
      </c>
      <c r="B158" s="1" t="n">
        <v>44945</v>
      </c>
      <c r="C158" s="1" t="n">
        <v>45925</v>
      </c>
      <c r="D158" t="inlineStr">
        <is>
          <t>JÖNKÖPINGS LÄN</t>
        </is>
      </c>
      <c r="E158" t="inlineStr">
        <is>
          <t>NÄSSJÖ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52671-2022</t>
        </is>
      </c>
      <c r="B159" s="1" t="n">
        <v>44874</v>
      </c>
      <c r="C159" s="1" t="n">
        <v>45925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17946-2025</t>
        </is>
      </c>
      <c r="B160" s="1" t="n">
        <v>45760</v>
      </c>
      <c r="C160" s="1" t="n">
        <v>45925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46580-2022</t>
        </is>
      </c>
      <c r="B161" s="1" t="n">
        <v>44848.67672453704</v>
      </c>
      <c r="C161" s="1" t="n">
        <v>45925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46582-2022</t>
        </is>
      </c>
      <c r="B162" s="1" t="n">
        <v>44848.67853009259</v>
      </c>
      <c r="C162" s="1" t="n">
        <v>45925</v>
      </c>
      <c r="D162" t="inlineStr">
        <is>
          <t>JÖNKÖPINGS LÄN</t>
        </is>
      </c>
      <c r="E162" t="inlineStr">
        <is>
          <t>NÄSSJÖ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59351-2022</t>
        </is>
      </c>
      <c r="B163" s="1" t="n">
        <v>44904.69564814815</v>
      </c>
      <c r="C163" s="1" t="n">
        <v>45925</v>
      </c>
      <c r="D163" t="inlineStr">
        <is>
          <t>JÖNKÖPINGS LÄN</t>
        </is>
      </c>
      <c r="E163" t="inlineStr">
        <is>
          <t>NÄSSJÖ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23084-2021</t>
        </is>
      </c>
      <c r="B164" s="1" t="n">
        <v>44330</v>
      </c>
      <c r="C164" s="1" t="n">
        <v>45925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39945-2025</t>
        </is>
      </c>
      <c r="B165" s="1" t="n">
        <v>45892.29917824074</v>
      </c>
      <c r="C165" s="1" t="n">
        <v>45925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48479-2022</t>
        </is>
      </c>
      <c r="B166" s="1" t="n">
        <v>44858.70806712963</v>
      </c>
      <c r="C166" s="1" t="n">
        <v>45925</v>
      </c>
      <c r="D166" t="inlineStr">
        <is>
          <t>JÖNKÖPINGS LÄN</t>
        </is>
      </c>
      <c r="E166" t="inlineStr">
        <is>
          <t>NÄSSJÖ</t>
        </is>
      </c>
      <c r="F166" t="inlineStr">
        <is>
          <t>Kommuner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33761-2021</t>
        </is>
      </c>
      <c r="B167" s="1" t="n">
        <v>44378</v>
      </c>
      <c r="C167" s="1" t="n">
        <v>45925</v>
      </c>
      <c r="D167" t="inlineStr">
        <is>
          <t>JÖNKÖPINGS LÄN</t>
        </is>
      </c>
      <c r="E167" t="inlineStr">
        <is>
          <t>NÄSSJÖ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50815-2022</t>
        </is>
      </c>
      <c r="B168" s="1" t="n">
        <v>44867.47905092593</v>
      </c>
      <c r="C168" s="1" t="n">
        <v>45925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45693.30753472223</v>
      </c>
      <c r="C169" s="1" t="n">
        <v>45925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45925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45181.6131712963</v>
      </c>
      <c r="C171" s="1" t="n">
        <v>45925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250-2023</t>
        </is>
      </c>
      <c r="B172" s="1" t="n">
        <v>44928</v>
      </c>
      <c r="C172" s="1" t="n">
        <v>45925</v>
      </c>
      <c r="D172" t="inlineStr">
        <is>
          <t>JÖNKÖPINGS LÄN</t>
        </is>
      </c>
      <c r="E172" t="inlineStr">
        <is>
          <t>NÄSSJÖ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253-2023</t>
        </is>
      </c>
      <c r="B173" s="1" t="n">
        <v>44928</v>
      </c>
      <c r="C173" s="1" t="n">
        <v>45925</v>
      </c>
      <c r="D173" t="inlineStr">
        <is>
          <t>JÖNKÖPINGS LÄN</t>
        </is>
      </c>
      <c r="E173" t="inlineStr">
        <is>
          <t>NÄSSJÖ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928-2021</t>
        </is>
      </c>
      <c r="B174" s="1" t="n">
        <v>44207.35061342592</v>
      </c>
      <c r="C174" s="1" t="n">
        <v>45925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9796-2023</t>
        </is>
      </c>
      <c r="B175" s="1" t="n">
        <v>44984.64765046296</v>
      </c>
      <c r="C175" s="1" t="n">
        <v>45925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19684-2025</t>
        </is>
      </c>
      <c r="B176" s="1" t="n">
        <v>45770.86675925926</v>
      </c>
      <c r="C176" s="1" t="n">
        <v>45925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48890-2023</t>
        </is>
      </c>
      <c r="B177" s="1" t="n">
        <v>45209.48993055556</v>
      </c>
      <c r="C177" s="1" t="n">
        <v>45925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8531-2023</t>
        </is>
      </c>
      <c r="B178" s="1" t="n">
        <v>44972</v>
      </c>
      <c r="C178" s="1" t="n">
        <v>45925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2025-2024</t>
        </is>
      </c>
      <c r="B179" s="1" t="n">
        <v>45308</v>
      </c>
      <c r="C179" s="1" t="n">
        <v>45925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5599-2025</t>
        </is>
      </c>
      <c r="B180" s="1" t="n">
        <v>45693.58241898148</v>
      </c>
      <c r="C180" s="1" t="n">
        <v>45925</v>
      </c>
      <c r="D180" t="inlineStr">
        <is>
          <t>JÖNKÖPINGS LÄN</t>
        </is>
      </c>
      <c r="E180" t="inlineStr">
        <is>
          <t>NÄSSJÖ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50552-2023</t>
        </is>
      </c>
      <c r="B181" s="1" t="n">
        <v>45210</v>
      </c>
      <c r="C181" s="1" t="n">
        <v>45925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63066-2020</t>
        </is>
      </c>
      <c r="B182" s="1" t="n">
        <v>44162</v>
      </c>
      <c r="C182" s="1" t="n">
        <v>45925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14486-2024</t>
        </is>
      </c>
      <c r="B183" s="1" t="n">
        <v>45394.574375</v>
      </c>
      <c r="C183" s="1" t="n">
        <v>45925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56869-2022</t>
        </is>
      </c>
      <c r="B184" s="1" t="n">
        <v>44894.53177083333</v>
      </c>
      <c r="C184" s="1" t="n">
        <v>45925</v>
      </c>
      <c r="D184" t="inlineStr">
        <is>
          <t>JÖNKÖPINGS LÄN</t>
        </is>
      </c>
      <c r="E184" t="inlineStr">
        <is>
          <t>NÄSSJÖ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24533-2024</t>
        </is>
      </c>
      <c r="B185" s="1" t="n">
        <v>45460.38287037037</v>
      </c>
      <c r="C185" s="1" t="n">
        <v>45925</v>
      </c>
      <c r="D185" t="inlineStr">
        <is>
          <t>JÖNKÖPINGS LÄN</t>
        </is>
      </c>
      <c r="E185" t="inlineStr">
        <is>
          <t>NÄSSJÖ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14835-2024</t>
        </is>
      </c>
      <c r="B186" s="1" t="n">
        <v>45398.37391203704</v>
      </c>
      <c r="C186" s="1" t="n">
        <v>45925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50718-2021</t>
        </is>
      </c>
      <c r="B187" s="1" t="n">
        <v>44460</v>
      </c>
      <c r="C187" s="1" t="n">
        <v>45925</v>
      </c>
      <c r="D187" t="inlineStr">
        <is>
          <t>JÖNKÖPINGS LÄN</t>
        </is>
      </c>
      <c r="E187" t="inlineStr">
        <is>
          <t>NÄSSJÖ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50656-2024</t>
        </is>
      </c>
      <c r="B188" s="1" t="n">
        <v>45601</v>
      </c>
      <c r="C188" s="1" t="n">
        <v>45925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2988-2023</t>
        </is>
      </c>
      <c r="B189" s="1" t="n">
        <v>44945</v>
      </c>
      <c r="C189" s="1" t="n">
        <v>45925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30659-2023</t>
        </is>
      </c>
      <c r="B190" s="1" t="n">
        <v>45112.50153935186</v>
      </c>
      <c r="C190" s="1" t="n">
        <v>45925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23571-2024</t>
        </is>
      </c>
      <c r="B191" s="1" t="n">
        <v>45454</v>
      </c>
      <c r="C191" s="1" t="n">
        <v>45925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53960-2022</t>
        </is>
      </c>
      <c r="B192" s="1" t="n">
        <v>44881</v>
      </c>
      <c r="C192" s="1" t="n">
        <v>45925</v>
      </c>
      <c r="D192" t="inlineStr">
        <is>
          <t>JÖNKÖPINGS LÄN</t>
        </is>
      </c>
      <c r="E192" t="inlineStr">
        <is>
          <t>NÄSSJÖ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49389-2021</t>
        </is>
      </c>
      <c r="B193" s="1" t="n">
        <v>44454.62340277778</v>
      </c>
      <c r="C193" s="1" t="n">
        <v>45925</v>
      </c>
      <c r="D193" t="inlineStr">
        <is>
          <t>JÖNKÖPINGS LÄN</t>
        </is>
      </c>
      <c r="E193" t="inlineStr">
        <is>
          <t>NÄSSJÖ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16850-2025</t>
        </is>
      </c>
      <c r="B194" s="1" t="n">
        <v>45754.70548611111</v>
      </c>
      <c r="C194" s="1" t="n">
        <v>45925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39485-2024</t>
        </is>
      </c>
      <c r="B195" s="1" t="n">
        <v>45551.65130787037</v>
      </c>
      <c r="C195" s="1" t="n">
        <v>45925</v>
      </c>
      <c r="D195" t="inlineStr">
        <is>
          <t>JÖNKÖPINGS LÄN</t>
        </is>
      </c>
      <c r="E195" t="inlineStr">
        <is>
          <t>NÄSSJÖ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34686-2025</t>
        </is>
      </c>
      <c r="B196" s="1" t="n">
        <v>45848</v>
      </c>
      <c r="C196" s="1" t="n">
        <v>45925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29990-2023</t>
        </is>
      </c>
      <c r="B197" s="1" t="n">
        <v>45109.47741898148</v>
      </c>
      <c r="C197" s="1" t="n">
        <v>45925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2431-2023</t>
        </is>
      </c>
      <c r="B198" s="1" t="n">
        <v>44939</v>
      </c>
      <c r="C198" s="1" t="n">
        <v>45925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43697-2023</t>
        </is>
      </c>
      <c r="B199" s="1" t="n">
        <v>45187.41255787037</v>
      </c>
      <c r="C199" s="1" t="n">
        <v>45925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58541-2022</t>
        </is>
      </c>
      <c r="B200" s="1" t="n">
        <v>44902</v>
      </c>
      <c r="C200" s="1" t="n">
        <v>45925</v>
      </c>
      <c r="D200" t="inlineStr">
        <is>
          <t>JÖNKÖPINGS LÄN</t>
        </is>
      </c>
      <c r="E200" t="inlineStr">
        <is>
          <t>NÄSSJÖ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28579-2021</t>
        </is>
      </c>
      <c r="B201" s="1" t="n">
        <v>44356.83127314815</v>
      </c>
      <c r="C201" s="1" t="n">
        <v>45925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41330-2025</t>
        </is>
      </c>
      <c r="B202" s="1" t="n">
        <v>45899.30020833333</v>
      </c>
      <c r="C202" s="1" t="n">
        <v>45925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3362-2024</t>
        </is>
      </c>
      <c r="B203" s="1" t="n">
        <v>45317.64331018519</v>
      </c>
      <c r="C203" s="1" t="n">
        <v>45925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18331-2023</t>
        </is>
      </c>
      <c r="B204" s="1" t="n">
        <v>45041</v>
      </c>
      <c r="C204" s="1" t="n">
        <v>45925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14117-2023</t>
        </is>
      </c>
      <c r="B205" s="1" t="n">
        <v>45009.42696759259</v>
      </c>
      <c r="C205" s="1" t="n">
        <v>45925</v>
      </c>
      <c r="D205" t="inlineStr">
        <is>
          <t>JÖNKÖPINGS LÄN</t>
        </is>
      </c>
      <c r="E205" t="inlineStr">
        <is>
          <t>NÄSSJÖ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50836-2021</t>
        </is>
      </c>
      <c r="B206" s="1" t="n">
        <v>44460.50841435185</v>
      </c>
      <c r="C206" s="1" t="n">
        <v>45925</v>
      </c>
      <c r="D206" t="inlineStr">
        <is>
          <t>JÖNKÖPINGS LÄN</t>
        </is>
      </c>
      <c r="E206" t="inlineStr">
        <is>
          <t>NÄSSJÖ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52449-2020</t>
        </is>
      </c>
      <c r="B207" s="1" t="n">
        <v>44116</v>
      </c>
      <c r="C207" s="1" t="n">
        <v>45925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14654-2023</t>
        </is>
      </c>
      <c r="B208" s="1" t="n">
        <v>45013</v>
      </c>
      <c r="C208" s="1" t="n">
        <v>45925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41324-2025</t>
        </is>
      </c>
      <c r="B209" s="1" t="n">
        <v>45899.2575462963</v>
      </c>
      <c r="C209" s="1" t="n">
        <v>45925</v>
      </c>
      <c r="D209" t="inlineStr">
        <is>
          <t>JÖNKÖPINGS LÄN</t>
        </is>
      </c>
      <c r="E209" t="inlineStr">
        <is>
          <t>NÄSSJÖ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7140-2022</t>
        </is>
      </c>
      <c r="B210" s="1" t="n">
        <v>44603</v>
      </c>
      <c r="C210" s="1" t="n">
        <v>45925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10387-2024</t>
        </is>
      </c>
      <c r="B211" s="1" t="n">
        <v>45365.65668981482</v>
      </c>
      <c r="C211" s="1" t="n">
        <v>45925</v>
      </c>
      <c r="D211" t="inlineStr">
        <is>
          <t>JÖNKÖPINGS LÄN</t>
        </is>
      </c>
      <c r="E211" t="inlineStr">
        <is>
          <t>NÄSSJÖ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62002-2023</t>
        </is>
      </c>
      <c r="B212" s="1" t="n">
        <v>45266.63684027778</v>
      </c>
      <c r="C212" s="1" t="n">
        <v>45925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41328-2025</t>
        </is>
      </c>
      <c r="B213" s="1" t="n">
        <v>45899.29828703704</v>
      </c>
      <c r="C213" s="1" t="n">
        <v>45925</v>
      </c>
      <c r="D213" t="inlineStr">
        <is>
          <t>JÖNKÖPINGS LÄN</t>
        </is>
      </c>
      <c r="E213" t="inlineStr">
        <is>
          <t>NÄSSJÖ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6402-2023</t>
        </is>
      </c>
      <c r="B214" s="1" t="n">
        <v>44965.67059027778</v>
      </c>
      <c r="C214" s="1" t="n">
        <v>45925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41514-2025</t>
        </is>
      </c>
      <c r="B215" s="1" t="n">
        <v>45901.54266203703</v>
      </c>
      <c r="C215" s="1" t="n">
        <v>45925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9943-2025</t>
        </is>
      </c>
      <c r="B216" s="1" t="n">
        <v>45719</v>
      </c>
      <c r="C216" s="1" t="n">
        <v>45925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41373-2025</t>
        </is>
      </c>
      <c r="B217" s="1" t="n">
        <v>45900.7175462963</v>
      </c>
      <c r="C217" s="1" t="n">
        <v>45925</v>
      </c>
      <c r="D217" t="inlineStr">
        <is>
          <t>JÖNKÖPINGS LÄN</t>
        </is>
      </c>
      <c r="E217" t="inlineStr">
        <is>
          <t>NÄSSJÖ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54426-2024</t>
        </is>
      </c>
      <c r="B218" s="1" t="n">
        <v>45617</v>
      </c>
      <c r="C218" s="1" t="n">
        <v>45925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41323-2025</t>
        </is>
      </c>
      <c r="B219" s="1" t="n">
        <v>45899.24924768518</v>
      </c>
      <c r="C219" s="1" t="n">
        <v>45925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71606-2021</t>
        </is>
      </c>
      <c r="B220" s="1" t="n">
        <v>44541.81983796296</v>
      </c>
      <c r="C220" s="1" t="n">
        <v>45925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50160-2024</t>
        </is>
      </c>
      <c r="B221" s="1" t="n">
        <v>45600.46143518519</v>
      </c>
      <c r="C221" s="1" t="n">
        <v>45925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27719-2024</t>
        </is>
      </c>
      <c r="B222" s="1" t="n">
        <v>45475.38969907408</v>
      </c>
      <c r="C222" s="1" t="n">
        <v>45925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32982-2024</t>
        </is>
      </c>
      <c r="B223" s="1" t="n">
        <v>45517</v>
      </c>
      <c r="C223" s="1" t="n">
        <v>45925</v>
      </c>
      <c r="D223" t="inlineStr">
        <is>
          <t>JÖNKÖPINGS LÄN</t>
        </is>
      </c>
      <c r="E223" t="inlineStr">
        <is>
          <t>NÄSSJÖ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41325-2025</t>
        </is>
      </c>
      <c r="B224" s="1" t="n">
        <v>45899.26381944444</v>
      </c>
      <c r="C224" s="1" t="n">
        <v>45925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55702-2024</t>
        </is>
      </c>
      <c r="B225" s="1" t="n">
        <v>45622.69251157407</v>
      </c>
      <c r="C225" s="1" t="n">
        <v>45925</v>
      </c>
      <c r="D225" t="inlineStr">
        <is>
          <t>JÖNKÖPINGS LÄN</t>
        </is>
      </c>
      <c r="E225" t="inlineStr">
        <is>
          <t>NÄSSJÖ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45925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10500-2025</t>
        </is>
      </c>
      <c r="B227" s="1" t="n">
        <v>45721</v>
      </c>
      <c r="C227" s="1" t="n">
        <v>45925</v>
      </c>
      <c r="D227" t="inlineStr">
        <is>
          <t>JÖNKÖPINGS LÄN</t>
        </is>
      </c>
      <c r="E227" t="inlineStr">
        <is>
          <t>NÄSSJÖ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1688-2024</t>
        </is>
      </c>
      <c r="B228" s="1" t="n">
        <v>45307.28674768518</v>
      </c>
      <c r="C228" s="1" t="n">
        <v>45925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42186-2025</t>
        </is>
      </c>
      <c r="B229" s="1" t="n">
        <v>45904.45729166667</v>
      </c>
      <c r="C229" s="1" t="n">
        <v>45925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42318-2025</t>
        </is>
      </c>
      <c r="B230" s="1" t="n">
        <v>45904.66633101852</v>
      </c>
      <c r="C230" s="1" t="n">
        <v>45925</v>
      </c>
      <c r="D230" t="inlineStr">
        <is>
          <t>JÖNKÖPINGS LÄN</t>
        </is>
      </c>
      <c r="E230" t="inlineStr">
        <is>
          <t>NÄSSJÖ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45925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15620-2024</t>
        </is>
      </c>
      <c r="B232" s="1" t="n">
        <v>45402.23428240741</v>
      </c>
      <c r="C232" s="1" t="n">
        <v>45925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45925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22788-2024</t>
        </is>
      </c>
      <c r="B234" s="1" t="n">
        <v>45448</v>
      </c>
      <c r="C234" s="1" t="n">
        <v>45925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43625-2023</t>
        </is>
      </c>
      <c r="B235" s="1" t="n">
        <v>45184</v>
      </c>
      <c r="C235" s="1" t="n">
        <v>45925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45925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26337-2023</t>
        </is>
      </c>
      <c r="B237" s="1" t="n">
        <v>45091.8662962963</v>
      </c>
      <c r="C237" s="1" t="n">
        <v>45925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57031-2023</t>
        </is>
      </c>
      <c r="B238" s="1" t="n">
        <v>45244</v>
      </c>
      <c r="C238" s="1" t="n">
        <v>45925</v>
      </c>
      <c r="D238" t="inlineStr">
        <is>
          <t>JÖNKÖPINGS LÄN</t>
        </is>
      </c>
      <c r="E238" t="inlineStr">
        <is>
          <t>NÄSSJÖ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47884-2023</t>
        </is>
      </c>
      <c r="B239" s="1" t="n">
        <v>45204.4794212963</v>
      </c>
      <c r="C239" s="1" t="n">
        <v>45925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38615-2023</t>
        </is>
      </c>
      <c r="B240" s="1" t="n">
        <v>45162</v>
      </c>
      <c r="C240" s="1" t="n">
        <v>45925</v>
      </c>
      <c r="D240" t="inlineStr">
        <is>
          <t>JÖNKÖPINGS LÄN</t>
        </is>
      </c>
      <c r="E240" t="inlineStr">
        <is>
          <t>NÄSSJÖ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42115-2025</t>
        </is>
      </c>
      <c r="B241" s="1" t="n">
        <v>45904.33302083334</v>
      </c>
      <c r="C241" s="1" t="n">
        <v>45925</v>
      </c>
      <c r="D241" t="inlineStr">
        <is>
          <t>JÖNKÖPINGS LÄN</t>
        </is>
      </c>
      <c r="E241" t="inlineStr">
        <is>
          <t>NÄSSJÖ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48462-2024</t>
        </is>
      </c>
      <c r="B242" s="1" t="n">
        <v>45590.92597222222</v>
      </c>
      <c r="C242" s="1" t="n">
        <v>45925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48463-2024</t>
        </is>
      </c>
      <c r="B243" s="1" t="n">
        <v>45590.93469907407</v>
      </c>
      <c r="C243" s="1" t="n">
        <v>45925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42175-2025</t>
        </is>
      </c>
      <c r="B244" s="1" t="n">
        <v>45904.44297453704</v>
      </c>
      <c r="C244" s="1" t="n">
        <v>45925</v>
      </c>
      <c r="D244" t="inlineStr">
        <is>
          <t>JÖNKÖPINGS LÄN</t>
        </is>
      </c>
      <c r="E244" t="inlineStr">
        <is>
          <t>NÄSSJÖ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17038-2024</t>
        </is>
      </c>
      <c r="B245" s="1" t="n">
        <v>45412.40754629629</v>
      </c>
      <c r="C245" s="1" t="n">
        <v>45925</v>
      </c>
      <c r="D245" t="inlineStr">
        <is>
          <t>JÖNKÖPINGS LÄN</t>
        </is>
      </c>
      <c r="E245" t="inlineStr">
        <is>
          <t>NÄSSJÖ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42667-2025</t>
        </is>
      </c>
      <c r="B246" s="1" t="n">
        <v>45907.87936342593</v>
      </c>
      <c r="C246" s="1" t="n">
        <v>45925</v>
      </c>
      <c r="D246" t="inlineStr">
        <is>
          <t>JÖNKÖPINGS LÄN</t>
        </is>
      </c>
      <c r="E246" t="inlineStr">
        <is>
          <t>NÄSSJÖ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46061-2021</t>
        </is>
      </c>
      <c r="B247" s="1" t="n">
        <v>44442.22429398148</v>
      </c>
      <c r="C247" s="1" t="n">
        <v>45925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17948-2024</t>
        </is>
      </c>
      <c r="B248" s="1" t="n">
        <v>45419.63797453704</v>
      </c>
      <c r="C248" s="1" t="n">
        <v>45925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36945-2023</t>
        </is>
      </c>
      <c r="B249" s="1" t="n">
        <v>45154</v>
      </c>
      <c r="C249" s="1" t="n">
        <v>45925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36950-2023</t>
        </is>
      </c>
      <c r="B250" s="1" t="n">
        <v>45154</v>
      </c>
      <c r="C250" s="1" t="n">
        <v>45925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55918-2020</t>
        </is>
      </c>
      <c r="B251" s="1" t="n">
        <v>44132</v>
      </c>
      <c r="C251" s="1" t="n">
        <v>45925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42916-2025</t>
        </is>
      </c>
      <c r="B252" s="1" t="n">
        <v>45908.83310185185</v>
      </c>
      <c r="C252" s="1" t="n">
        <v>45925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39209-2025</t>
        </is>
      </c>
      <c r="B253" s="1" t="n">
        <v>45888.76606481482</v>
      </c>
      <c r="C253" s="1" t="n">
        <v>45925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63087-2023</t>
        </is>
      </c>
      <c r="B254" s="1" t="n">
        <v>45273.37284722222</v>
      </c>
      <c r="C254" s="1" t="n">
        <v>45925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7087-2024</t>
        </is>
      </c>
      <c r="B255" s="1" t="n">
        <v>45343</v>
      </c>
      <c r="C255" s="1" t="n">
        <v>45925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68915-2020</t>
        </is>
      </c>
      <c r="B256" s="1" t="n">
        <v>44187.67861111111</v>
      </c>
      <c r="C256" s="1" t="n">
        <v>45925</v>
      </c>
      <c r="D256" t="inlineStr">
        <is>
          <t>JÖNKÖPINGS LÄN</t>
        </is>
      </c>
      <c r="E256" t="inlineStr">
        <is>
          <t>NÄSSJÖ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49439-2024</t>
        </is>
      </c>
      <c r="B257" s="1" t="n">
        <v>45595.87626157407</v>
      </c>
      <c r="C257" s="1" t="n">
        <v>45925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3169-2023</t>
        </is>
      </c>
      <c r="B258" s="1" t="n">
        <v>44946</v>
      </c>
      <c r="C258" s="1" t="n">
        <v>45925</v>
      </c>
      <c r="D258" t="inlineStr">
        <is>
          <t>JÖNKÖPINGS LÄN</t>
        </is>
      </c>
      <c r="E258" t="inlineStr">
        <is>
          <t>NÄSSJÖ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42505-2025</t>
        </is>
      </c>
      <c r="B259" s="1" t="n">
        <v>45905.52935185185</v>
      </c>
      <c r="C259" s="1" t="n">
        <v>45925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1724-2025</t>
        </is>
      </c>
      <c r="B260" s="1" t="n">
        <v>45671.3547337963</v>
      </c>
      <c r="C260" s="1" t="n">
        <v>45925</v>
      </c>
      <c r="D260" t="inlineStr">
        <is>
          <t>JÖNKÖPINGS LÄN</t>
        </is>
      </c>
      <c r="E260" t="inlineStr">
        <is>
          <t>NÄSSJÖ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42665-2025</t>
        </is>
      </c>
      <c r="B261" s="1" t="n">
        <v>45907.87585648148</v>
      </c>
      <c r="C261" s="1" t="n">
        <v>45925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62583-2023</t>
        </is>
      </c>
      <c r="B262" s="1" t="n">
        <v>45270</v>
      </c>
      <c r="C262" s="1" t="n">
        <v>45925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42666-2025</t>
        </is>
      </c>
      <c r="B263" s="1" t="n">
        <v>45907.87704861111</v>
      </c>
      <c r="C263" s="1" t="n">
        <v>45925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6189-2021</t>
        </is>
      </c>
      <c r="B264" s="1" t="n">
        <v>44234</v>
      </c>
      <c r="C264" s="1" t="n">
        <v>45925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23384-2025</t>
        </is>
      </c>
      <c r="B265" s="1" t="n">
        <v>45791.82179398148</v>
      </c>
      <c r="C265" s="1" t="n">
        <v>45925</v>
      </c>
      <c r="D265" t="inlineStr">
        <is>
          <t>JÖNKÖPINGS LÄN</t>
        </is>
      </c>
      <c r="E265" t="inlineStr">
        <is>
          <t>NÄSSJÖ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49440-2024</t>
        </is>
      </c>
      <c r="B266" s="1" t="n">
        <v>45595.88085648148</v>
      </c>
      <c r="C266" s="1" t="n">
        <v>45925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51374-2024</t>
        </is>
      </c>
      <c r="B267" s="1" t="n">
        <v>45604.37716435185</v>
      </c>
      <c r="C267" s="1" t="n">
        <v>45925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29836-2024</t>
        </is>
      </c>
      <c r="B268" s="1" t="n">
        <v>45485.59034722222</v>
      </c>
      <c r="C268" s="1" t="n">
        <v>45925</v>
      </c>
      <c r="D268" t="inlineStr">
        <is>
          <t>JÖNKÖPINGS LÄN</t>
        </is>
      </c>
      <c r="E268" t="inlineStr">
        <is>
          <t>NÄSSJÖ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61545-2022</t>
        </is>
      </c>
      <c r="B269" s="1" t="n">
        <v>44916.56637731481</v>
      </c>
      <c r="C269" s="1" t="n">
        <v>45925</v>
      </c>
      <c r="D269" t="inlineStr">
        <is>
          <t>JÖNKÖPINGS LÄN</t>
        </is>
      </c>
      <c r="E269" t="inlineStr">
        <is>
          <t>NÄSSJÖ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60893-2024</t>
        </is>
      </c>
      <c r="B270" s="1" t="n">
        <v>45645.24053240741</v>
      </c>
      <c r="C270" s="1" t="n">
        <v>45925</v>
      </c>
      <c r="D270" t="inlineStr">
        <is>
          <t>JÖNKÖPINGS LÄN</t>
        </is>
      </c>
      <c r="E270" t="inlineStr">
        <is>
          <t>NÄSSJÖ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50812-2022</t>
        </is>
      </c>
      <c r="B271" s="1" t="n">
        <v>44867.47667824074</v>
      </c>
      <c r="C271" s="1" t="n">
        <v>45925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42502-2025</t>
        </is>
      </c>
      <c r="B272" s="1" t="n">
        <v>45905.52668981482</v>
      </c>
      <c r="C272" s="1" t="n">
        <v>45925</v>
      </c>
      <c r="D272" t="inlineStr">
        <is>
          <t>JÖNKÖPINGS LÄN</t>
        </is>
      </c>
      <c r="E272" t="inlineStr">
        <is>
          <t>NÄSSJÖ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59167-2024</t>
        </is>
      </c>
      <c r="B273" s="1" t="n">
        <v>45637.48994212963</v>
      </c>
      <c r="C273" s="1" t="n">
        <v>45925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51314-2024</t>
        </is>
      </c>
      <c r="B274" s="1" t="n">
        <v>45604.32130787037</v>
      </c>
      <c r="C274" s="1" t="n">
        <v>45925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4571-2023</t>
        </is>
      </c>
      <c r="B275" s="1" t="n">
        <v>44956</v>
      </c>
      <c r="C275" s="1" t="n">
        <v>45925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3160-2025</t>
        </is>
      </c>
      <c r="B276" s="1" t="n">
        <v>45679.33732638889</v>
      </c>
      <c r="C276" s="1" t="n">
        <v>45925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54921-2024</t>
        </is>
      </c>
      <c r="B277" s="1" t="n">
        <v>45618.70239583333</v>
      </c>
      <c r="C277" s="1" t="n">
        <v>45925</v>
      </c>
      <c r="D277" t="inlineStr">
        <is>
          <t>JÖNKÖPINGS LÄN</t>
        </is>
      </c>
      <c r="E277" t="inlineStr">
        <is>
          <t>NÄSSJÖ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14832-2023</t>
        </is>
      </c>
      <c r="B278" s="1" t="n">
        <v>45014.67738425926</v>
      </c>
      <c r="C278" s="1" t="n">
        <v>45925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57988-2024</t>
        </is>
      </c>
      <c r="B279" s="1" t="n">
        <v>45631</v>
      </c>
      <c r="C279" s="1" t="n">
        <v>45925</v>
      </c>
      <c r="D279" t="inlineStr">
        <is>
          <t>JÖNKÖPINGS LÄN</t>
        </is>
      </c>
      <c r="E279" t="inlineStr">
        <is>
          <t>NÄSSJÖ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52250-2022</t>
        </is>
      </c>
      <c r="B280" s="1" t="n">
        <v>44873.6115625</v>
      </c>
      <c r="C280" s="1" t="n">
        <v>45925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57758-2023</t>
        </is>
      </c>
      <c r="B281" s="1" t="n">
        <v>45246</v>
      </c>
      <c r="C281" s="1" t="n">
        <v>45925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49376-2021</t>
        </is>
      </c>
      <c r="B282" s="1" t="n">
        <v>44454</v>
      </c>
      <c r="C282" s="1" t="n">
        <v>45925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7145-2025</t>
        </is>
      </c>
      <c r="B283" s="1" t="n">
        <v>45702.37709490741</v>
      </c>
      <c r="C283" s="1" t="n">
        <v>45925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7158-2025</t>
        </is>
      </c>
      <c r="B284" s="1" t="n">
        <v>45702.38725694444</v>
      </c>
      <c r="C284" s="1" t="n">
        <v>45925</v>
      </c>
      <c r="D284" t="inlineStr">
        <is>
          <t>JÖNKÖPINGS LÄN</t>
        </is>
      </c>
      <c r="E284" t="inlineStr">
        <is>
          <t>NÄSSJÖ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11480-2024</t>
        </is>
      </c>
      <c r="B285" s="1" t="n">
        <v>45372</v>
      </c>
      <c r="C285" s="1" t="n">
        <v>45925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57760-2024</t>
        </is>
      </c>
      <c r="B286" s="1" t="n">
        <v>45630.84928240741</v>
      </c>
      <c r="C286" s="1" t="n">
        <v>45925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22173-2023</t>
        </is>
      </c>
      <c r="B287" s="1" t="n">
        <v>45069.67884259259</v>
      </c>
      <c r="C287" s="1" t="n">
        <v>45925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36589-2025</t>
        </is>
      </c>
      <c r="B288" s="1" t="n">
        <v>45870.48773148148</v>
      </c>
      <c r="C288" s="1" t="n">
        <v>45925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63742-2023</t>
        </is>
      </c>
      <c r="B289" s="1" t="n">
        <v>45277</v>
      </c>
      <c r="C289" s="1" t="n">
        <v>45925</v>
      </c>
      <c r="D289" t="inlineStr">
        <is>
          <t>JÖNKÖPINGS LÄN</t>
        </is>
      </c>
      <c r="E289" t="inlineStr">
        <is>
          <t>NÄSSJÖ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8339-2023</t>
        </is>
      </c>
      <c r="B290" s="1" t="n">
        <v>44976.42289351852</v>
      </c>
      <c r="C290" s="1" t="n">
        <v>45925</v>
      </c>
      <c r="D290" t="inlineStr">
        <is>
          <t>JÖNKÖPINGS LÄN</t>
        </is>
      </c>
      <c r="E290" t="inlineStr">
        <is>
          <t>NÄSSJÖ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36945-2023</t>
        </is>
      </c>
      <c r="B291" s="1" t="n">
        <v>45154</v>
      </c>
      <c r="C291" s="1" t="n">
        <v>45925</v>
      </c>
      <c r="D291" t="inlineStr">
        <is>
          <t>JÖNKÖPINGS LÄN</t>
        </is>
      </c>
      <c r="E291" t="inlineStr">
        <is>
          <t>NÄSSJÖ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43405-2025</t>
        </is>
      </c>
      <c r="B292" s="1" t="n">
        <v>45911.39112268519</v>
      </c>
      <c r="C292" s="1" t="n">
        <v>45925</v>
      </c>
      <c r="D292" t="inlineStr">
        <is>
          <t>JÖNKÖPINGS LÄN</t>
        </is>
      </c>
      <c r="E292" t="inlineStr">
        <is>
          <t>NÄSSJÖ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9279-2023</t>
        </is>
      </c>
      <c r="B293" s="1" t="n">
        <v>44980.61770833333</v>
      </c>
      <c r="C293" s="1" t="n">
        <v>45925</v>
      </c>
      <c r="D293" t="inlineStr">
        <is>
          <t>JÖNKÖPINGS LÄN</t>
        </is>
      </c>
      <c r="E293" t="inlineStr">
        <is>
          <t>NÄSSJÖ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57307-2020</t>
        </is>
      </c>
      <c r="B294" s="1" t="n">
        <v>44139.66149305556</v>
      </c>
      <c r="C294" s="1" t="n">
        <v>45925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40982-2025</t>
        </is>
      </c>
      <c r="B295" s="1" t="n">
        <v>45898</v>
      </c>
      <c r="C295" s="1" t="n">
        <v>45925</v>
      </c>
      <c r="D295" t="inlineStr">
        <is>
          <t>JÖNKÖPINGS LÄN</t>
        </is>
      </c>
      <c r="E295" t="inlineStr">
        <is>
          <t>NÄSSJÖ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44436-2025</t>
        </is>
      </c>
      <c r="B296" s="1" t="n">
        <v>45916.5824074074</v>
      </c>
      <c r="C296" s="1" t="n">
        <v>45925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12593-2025</t>
        </is>
      </c>
      <c r="B297" s="1" t="n">
        <v>45732.85637731481</v>
      </c>
      <c r="C297" s="1" t="n">
        <v>45925</v>
      </c>
      <c r="D297" t="inlineStr">
        <is>
          <t>JÖNKÖPINGS LÄN</t>
        </is>
      </c>
      <c r="E297" t="inlineStr">
        <is>
          <t>NÄSSJÖ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8986-2023</t>
        </is>
      </c>
      <c r="B298" s="1" t="n">
        <v>44974</v>
      </c>
      <c r="C298" s="1" t="n">
        <v>45925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8989-2023</t>
        </is>
      </c>
      <c r="B299" s="1" t="n">
        <v>44974</v>
      </c>
      <c r="C299" s="1" t="n">
        <v>45925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57627-2021</t>
        </is>
      </c>
      <c r="B300" s="1" t="n">
        <v>44484.38644675926</v>
      </c>
      <c r="C300" s="1" t="n">
        <v>45925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50388-2020</t>
        </is>
      </c>
      <c r="B301" s="1" t="n">
        <v>44105</v>
      </c>
      <c r="C301" s="1" t="n">
        <v>45925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10060-2023</t>
        </is>
      </c>
      <c r="B302" s="1" t="n">
        <v>44985</v>
      </c>
      <c r="C302" s="1" t="n">
        <v>45925</v>
      </c>
      <c r="D302" t="inlineStr">
        <is>
          <t>JÖNKÖPINGS LÄN</t>
        </is>
      </c>
      <c r="E302" t="inlineStr">
        <is>
          <t>NÄSSJÖ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24531-2024</t>
        </is>
      </c>
      <c r="B303" s="1" t="n">
        <v>45460.38153935185</v>
      </c>
      <c r="C303" s="1" t="n">
        <v>45925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46451-2022</t>
        </is>
      </c>
      <c r="B304" s="1" t="n">
        <v>44848.48673611111</v>
      </c>
      <c r="C304" s="1" t="n">
        <v>45925</v>
      </c>
      <c r="D304" t="inlineStr">
        <is>
          <t>JÖNKÖPINGS LÄN</t>
        </is>
      </c>
      <c r="E304" t="inlineStr">
        <is>
          <t>NÄSSJÖ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11917-2023</t>
        </is>
      </c>
      <c r="B305" s="1" t="n">
        <v>44994</v>
      </c>
      <c r="C305" s="1" t="n">
        <v>45925</v>
      </c>
      <c r="D305" t="inlineStr">
        <is>
          <t>JÖNKÖPINGS LÄN</t>
        </is>
      </c>
      <c r="E305" t="inlineStr">
        <is>
          <t>NÄSSJÖ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36698-2025</t>
        </is>
      </c>
      <c r="B306" s="1" t="n">
        <v>45873.44144675926</v>
      </c>
      <c r="C306" s="1" t="n">
        <v>45925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36701-2025</t>
        </is>
      </c>
      <c r="B307" s="1" t="n">
        <v>45873.44680555556</v>
      </c>
      <c r="C307" s="1" t="n">
        <v>45925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36808-2025</t>
        </is>
      </c>
      <c r="B308" s="1" t="n">
        <v>45873.71123842592</v>
      </c>
      <c r="C308" s="1" t="n">
        <v>45925</v>
      </c>
      <c r="D308" t="inlineStr">
        <is>
          <t>JÖNKÖPINGS LÄN</t>
        </is>
      </c>
      <c r="E308" t="inlineStr">
        <is>
          <t>NÄSSJÖ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5461-2025</t>
        </is>
      </c>
      <c r="B309" s="1" t="n">
        <v>45693.27854166667</v>
      </c>
      <c r="C309" s="1" t="n">
        <v>45925</v>
      </c>
      <c r="D309" t="inlineStr">
        <is>
          <t>JÖNKÖPINGS LÄN</t>
        </is>
      </c>
      <c r="E309" t="inlineStr">
        <is>
          <t>NÄSSJÖ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34545-2023</t>
        </is>
      </c>
      <c r="B310" s="1" t="n">
        <v>45140.485</v>
      </c>
      <c r="C310" s="1" t="n">
        <v>45925</v>
      </c>
      <c r="D310" t="inlineStr">
        <is>
          <t>JÖNKÖPINGS LÄN</t>
        </is>
      </c>
      <c r="E310" t="inlineStr">
        <is>
          <t>NÄSSJÖ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5801-2025</t>
        </is>
      </c>
      <c r="B311" s="1" t="n">
        <v>45694.66690972223</v>
      </c>
      <c r="C311" s="1" t="n">
        <v>45925</v>
      </c>
      <c r="D311" t="inlineStr">
        <is>
          <t>JÖNKÖPINGS LÄN</t>
        </is>
      </c>
      <c r="E311" t="inlineStr">
        <is>
          <t>NÄSSJÖ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12106-2024</t>
        </is>
      </c>
      <c r="B312" s="1" t="n">
        <v>45376</v>
      </c>
      <c r="C312" s="1" t="n">
        <v>45925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46729-2023</t>
        </is>
      </c>
      <c r="B313" s="1" t="n">
        <v>45198</v>
      </c>
      <c r="C313" s="1" t="n">
        <v>45925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36943-2023</t>
        </is>
      </c>
      <c r="B314" s="1" t="n">
        <v>45154.79920138889</v>
      </c>
      <c r="C314" s="1" t="n">
        <v>45925</v>
      </c>
      <c r="D314" t="inlineStr">
        <is>
          <t>JÖNKÖPINGS LÄN</t>
        </is>
      </c>
      <c r="E314" t="inlineStr">
        <is>
          <t>NÄSSJÖ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41319-2022</t>
        </is>
      </c>
      <c r="B315" s="1" t="n">
        <v>44826</v>
      </c>
      <c r="C315" s="1" t="n">
        <v>45925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15759-2023</t>
        </is>
      </c>
      <c r="B316" s="1" t="n">
        <v>45021.62957175926</v>
      </c>
      <c r="C316" s="1" t="n">
        <v>45925</v>
      </c>
      <c r="D316" t="inlineStr">
        <is>
          <t>JÖNKÖPINGS LÄN</t>
        </is>
      </c>
      <c r="E316" t="inlineStr">
        <is>
          <t>NÄSSJÖ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43998-2023</t>
        </is>
      </c>
      <c r="B317" s="1" t="n">
        <v>45188.2929050926</v>
      </c>
      <c r="C317" s="1" t="n">
        <v>45925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58533-2022</t>
        </is>
      </c>
      <c r="B318" s="1" t="n">
        <v>44902</v>
      </c>
      <c r="C318" s="1" t="n">
        <v>45925</v>
      </c>
      <c r="D318" t="inlineStr">
        <is>
          <t>JÖNKÖPINGS LÄN</t>
        </is>
      </c>
      <c r="E318" t="inlineStr">
        <is>
          <t>NÄSSJÖ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35811-2023</t>
        </is>
      </c>
      <c r="B319" s="1" t="n">
        <v>45148</v>
      </c>
      <c r="C319" s="1" t="n">
        <v>45925</v>
      </c>
      <c r="D319" t="inlineStr">
        <is>
          <t>JÖNKÖPINGS LÄN</t>
        </is>
      </c>
      <c r="E319" t="inlineStr">
        <is>
          <t>NÄSSJÖ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1248-2024</t>
        </is>
      </c>
      <c r="B320" s="1" t="n">
        <v>45302.73747685185</v>
      </c>
      <c r="C320" s="1" t="n">
        <v>45925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36886-2025</t>
        </is>
      </c>
      <c r="B321" s="1" t="n">
        <v>45874.44326388889</v>
      </c>
      <c r="C321" s="1" t="n">
        <v>45925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63134-2020</t>
        </is>
      </c>
      <c r="B322" s="1" t="n">
        <v>44162</v>
      </c>
      <c r="C322" s="1" t="n">
        <v>45925</v>
      </c>
      <c r="D322" t="inlineStr">
        <is>
          <t>JÖNKÖPINGS LÄN</t>
        </is>
      </c>
      <c r="E322" t="inlineStr">
        <is>
          <t>NÄSSJÖ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11355-2024</t>
        </is>
      </c>
      <c r="B323" s="1" t="n">
        <v>45372</v>
      </c>
      <c r="C323" s="1" t="n">
        <v>45925</v>
      </c>
      <c r="D323" t="inlineStr">
        <is>
          <t>JÖNKÖPINGS LÄN</t>
        </is>
      </c>
      <c r="E323" t="inlineStr">
        <is>
          <t>NÄSSJÖ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11361-2024</t>
        </is>
      </c>
      <c r="B324" s="1" t="n">
        <v>45372</v>
      </c>
      <c r="C324" s="1" t="n">
        <v>45925</v>
      </c>
      <c r="D324" t="inlineStr">
        <is>
          <t>JÖNKÖPINGS LÄN</t>
        </is>
      </c>
      <c r="E324" t="inlineStr">
        <is>
          <t>NÄSSJÖ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5746-2025</t>
        </is>
      </c>
      <c r="B325" s="1" t="n">
        <v>45694.52599537037</v>
      </c>
      <c r="C325" s="1" t="n">
        <v>45925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14778-2023</t>
        </is>
      </c>
      <c r="B326" s="1" t="n">
        <v>45014.57861111111</v>
      </c>
      <c r="C326" s="1" t="n">
        <v>45925</v>
      </c>
      <c r="D326" t="inlineStr">
        <is>
          <t>JÖNKÖPINGS LÄN</t>
        </is>
      </c>
      <c r="E326" t="inlineStr">
        <is>
          <t>NÄSSJÖ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34683-2021</t>
        </is>
      </c>
      <c r="B327" s="1" t="n">
        <v>44382.60047453704</v>
      </c>
      <c r="C327" s="1" t="n">
        <v>45925</v>
      </c>
      <c r="D327" t="inlineStr">
        <is>
          <t>JÖNKÖPINGS LÄN</t>
        </is>
      </c>
      <c r="E327" t="inlineStr">
        <is>
          <t>NÄSSJÖ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13938-2025</t>
        </is>
      </c>
      <c r="B328" s="1" t="n">
        <v>45737.68998842593</v>
      </c>
      <c r="C328" s="1" t="n">
        <v>45925</v>
      </c>
      <c r="D328" t="inlineStr">
        <is>
          <t>JÖNKÖPINGS LÄN</t>
        </is>
      </c>
      <c r="E328" t="inlineStr">
        <is>
          <t>NÄSSJÖ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10645-2023</t>
        </is>
      </c>
      <c r="B329" s="1" t="n">
        <v>44988.48039351852</v>
      </c>
      <c r="C329" s="1" t="n">
        <v>45925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11020-2024</t>
        </is>
      </c>
      <c r="B330" s="1" t="n">
        <v>45370.62805555556</v>
      </c>
      <c r="C330" s="1" t="n">
        <v>45925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58553-2022</t>
        </is>
      </c>
      <c r="B331" s="1" t="n">
        <v>44902</v>
      </c>
      <c r="C331" s="1" t="n">
        <v>45925</v>
      </c>
      <c r="D331" t="inlineStr">
        <is>
          <t>JÖNKÖPINGS LÄN</t>
        </is>
      </c>
      <c r="E331" t="inlineStr">
        <is>
          <t>NÄSSJÖ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44762-2025</t>
        </is>
      </c>
      <c r="B332" s="1" t="n">
        <v>45917</v>
      </c>
      <c r="C332" s="1" t="n">
        <v>45925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44763-2025</t>
        </is>
      </c>
      <c r="B333" s="1" t="n">
        <v>45917</v>
      </c>
      <c r="C333" s="1" t="n">
        <v>45925</v>
      </c>
      <c r="D333" t="inlineStr">
        <is>
          <t>JÖNKÖPINGS LÄN</t>
        </is>
      </c>
      <c r="E333" t="inlineStr">
        <is>
          <t>NÄSSJÖ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16775-2023</t>
        </is>
      </c>
      <c r="B334" s="1" t="n">
        <v>45031.42637731481</v>
      </c>
      <c r="C334" s="1" t="n">
        <v>45925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17830-2024</t>
        </is>
      </c>
      <c r="B335" s="1" t="n">
        <v>45419.33035879629</v>
      </c>
      <c r="C335" s="1" t="n">
        <v>45925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241-2023</t>
        </is>
      </c>
      <c r="B336" s="1" t="n">
        <v>44928</v>
      </c>
      <c r="C336" s="1" t="n">
        <v>45925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3394-2025</t>
        </is>
      </c>
      <c r="B337" s="1" t="n">
        <v>45680.36491898148</v>
      </c>
      <c r="C337" s="1" t="n">
        <v>45925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17097-2024</t>
        </is>
      </c>
      <c r="B338" s="1" t="n">
        <v>45412.52857638889</v>
      </c>
      <c r="C338" s="1" t="n">
        <v>45925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49665-2023</t>
        </is>
      </c>
      <c r="B339" s="1" t="n">
        <v>45212</v>
      </c>
      <c r="C339" s="1" t="n">
        <v>45925</v>
      </c>
      <c r="D339" t="inlineStr">
        <is>
          <t>JÖNKÖPINGS LÄN</t>
        </is>
      </c>
      <c r="E339" t="inlineStr">
        <is>
          <t>NÄSSJÖ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49666-2023</t>
        </is>
      </c>
      <c r="B340" s="1" t="n">
        <v>45212</v>
      </c>
      <c r="C340" s="1" t="n">
        <v>45925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53962-2024</t>
        </is>
      </c>
      <c r="B341" s="1" t="n">
        <v>45616.31275462963</v>
      </c>
      <c r="C341" s="1" t="n">
        <v>45925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10803-2024</t>
        </is>
      </c>
      <c r="B342" s="1" t="n">
        <v>45369.62409722222</v>
      </c>
      <c r="C342" s="1" t="n">
        <v>45925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43923-2023</t>
        </is>
      </c>
      <c r="B343" s="1" t="n">
        <v>45182</v>
      </c>
      <c r="C343" s="1" t="n">
        <v>45925</v>
      </c>
      <c r="D343" t="inlineStr">
        <is>
          <t>JÖNKÖPINGS LÄN</t>
        </is>
      </c>
      <c r="E343" t="inlineStr">
        <is>
          <t>NÄSSJÖ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44400-2024</t>
        </is>
      </c>
      <c r="B344" s="1" t="n">
        <v>45573.70368055555</v>
      </c>
      <c r="C344" s="1" t="n">
        <v>45925</v>
      </c>
      <c r="D344" t="inlineStr">
        <is>
          <t>JÖNKÖPINGS LÄN</t>
        </is>
      </c>
      <c r="E344" t="inlineStr">
        <is>
          <t>NÄSSJÖ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45566-2025</t>
        </is>
      </c>
      <c r="B345" s="1" t="n">
        <v>45922.65359953704</v>
      </c>
      <c r="C345" s="1" t="n">
        <v>45925</v>
      </c>
      <c r="D345" t="inlineStr">
        <is>
          <t>JÖNKÖPINGS LÄN</t>
        </is>
      </c>
      <c r="E345" t="inlineStr">
        <is>
          <t>NÄSSJÖ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35083-2021</t>
        </is>
      </c>
      <c r="B346" s="1" t="n">
        <v>44383</v>
      </c>
      <c r="C346" s="1" t="n">
        <v>45925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23570-2024</t>
        </is>
      </c>
      <c r="B347" s="1" t="n">
        <v>45454.29613425926</v>
      </c>
      <c r="C347" s="1" t="n">
        <v>45925</v>
      </c>
      <c r="D347" t="inlineStr">
        <is>
          <t>JÖNKÖPINGS LÄN</t>
        </is>
      </c>
      <c r="E347" t="inlineStr">
        <is>
          <t>NÄSSJÖ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11489-2024</t>
        </is>
      </c>
      <c r="B348" s="1" t="n">
        <v>45372</v>
      </c>
      <c r="C348" s="1" t="n">
        <v>45925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7654-2023</t>
        </is>
      </c>
      <c r="B349" s="1" t="n">
        <v>44972.633125</v>
      </c>
      <c r="C349" s="1" t="n">
        <v>45925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50156-2023</t>
        </is>
      </c>
      <c r="B350" s="1" t="n">
        <v>45215.69435185185</v>
      </c>
      <c r="C350" s="1" t="n">
        <v>45925</v>
      </c>
      <c r="D350" t="inlineStr">
        <is>
          <t>JÖNKÖPINGS LÄN</t>
        </is>
      </c>
      <c r="E350" t="inlineStr">
        <is>
          <t>NÄSSJÖ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215-2022</t>
        </is>
      </c>
      <c r="B351" s="1" t="n">
        <v>44564</v>
      </c>
      <c r="C351" s="1" t="n">
        <v>45925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37765-2025</t>
        </is>
      </c>
      <c r="B352" s="1" t="n">
        <v>45880.72608796296</v>
      </c>
      <c r="C352" s="1" t="n">
        <v>45925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37766-2025</t>
        </is>
      </c>
      <c r="B353" s="1" t="n">
        <v>45880.72768518519</v>
      </c>
      <c r="C353" s="1" t="n">
        <v>45925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26024-2021</t>
        </is>
      </c>
      <c r="B354" s="1" t="n">
        <v>44344</v>
      </c>
      <c r="C354" s="1" t="n">
        <v>45925</v>
      </c>
      <c r="D354" t="inlineStr">
        <is>
          <t>JÖNKÖPINGS LÄN</t>
        </is>
      </c>
      <c r="E354" t="inlineStr">
        <is>
          <t>NÄSSJÖ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36604-2022</t>
        </is>
      </c>
      <c r="B355" s="1" t="n">
        <v>44804</v>
      </c>
      <c r="C355" s="1" t="n">
        <v>45925</v>
      </c>
      <c r="D355" t="inlineStr">
        <is>
          <t>JÖNKÖPINGS LÄN</t>
        </is>
      </c>
      <c r="E355" t="inlineStr">
        <is>
          <t>NÄSSJÖ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8988-2025</t>
        </is>
      </c>
      <c r="B356" s="1" t="n">
        <v>45713.53767361111</v>
      </c>
      <c r="C356" s="1" t="n">
        <v>45925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37870-2025</t>
        </is>
      </c>
      <c r="B357" s="1" t="n">
        <v>45880</v>
      </c>
      <c r="C357" s="1" t="n">
        <v>45925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37767-2025</t>
        </is>
      </c>
      <c r="B358" s="1" t="n">
        <v>45880.72895833333</v>
      </c>
      <c r="C358" s="1" t="n">
        <v>45925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45560-2025</t>
        </is>
      </c>
      <c r="B359" s="1" t="n">
        <v>45922.6462962963</v>
      </c>
      <c r="C359" s="1" t="n">
        <v>45925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63741-2023</t>
        </is>
      </c>
      <c r="B360" s="1" t="n">
        <v>45277</v>
      </c>
      <c r="C360" s="1" t="n">
        <v>45925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45553-2025</t>
        </is>
      </c>
      <c r="B361" s="1" t="n">
        <v>45922.64138888889</v>
      </c>
      <c r="C361" s="1" t="n">
        <v>45925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1359-2024</t>
        </is>
      </c>
      <c r="B362" s="1" t="n">
        <v>45303.49871527778</v>
      </c>
      <c r="C362" s="1" t="n">
        <v>45925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49438-2024</t>
        </is>
      </c>
      <c r="B363" s="1" t="n">
        <v>45595.87185185185</v>
      </c>
      <c r="C363" s="1" t="n">
        <v>45925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2714-2025</t>
        </is>
      </c>
      <c r="B364" s="1" t="n">
        <v>45677</v>
      </c>
      <c r="C364" s="1" t="n">
        <v>45925</v>
      </c>
      <c r="D364" t="inlineStr">
        <is>
          <t>JÖNKÖPINGS LÄN</t>
        </is>
      </c>
      <c r="E364" t="inlineStr">
        <is>
          <t>NÄSSJÖ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12575-2025</t>
        </is>
      </c>
      <c r="B365" s="1" t="n">
        <v>45732.43990740741</v>
      </c>
      <c r="C365" s="1" t="n">
        <v>45925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45557-2025</t>
        </is>
      </c>
      <c r="B366" s="1" t="n">
        <v>45922.64466435185</v>
      </c>
      <c r="C366" s="1" t="n">
        <v>45925</v>
      </c>
      <c r="D366" t="inlineStr">
        <is>
          <t>JÖNKÖPINGS LÄN</t>
        </is>
      </c>
      <c r="E366" t="inlineStr">
        <is>
          <t>NÄSSJÖ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24501-2024</t>
        </is>
      </c>
      <c r="B367" s="1" t="n">
        <v>45460.23224537037</v>
      </c>
      <c r="C367" s="1" t="n">
        <v>45925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55605-2023</t>
        </is>
      </c>
      <c r="B368" s="1" t="n">
        <v>45238.70225694445</v>
      </c>
      <c r="C368" s="1" t="n">
        <v>45925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45047-2025</t>
        </is>
      </c>
      <c r="B369" s="1" t="n">
        <v>45919.29105324074</v>
      </c>
      <c r="C369" s="1" t="n">
        <v>45925</v>
      </c>
      <c r="D369" t="inlineStr">
        <is>
          <t>JÖNKÖPINGS LÄN</t>
        </is>
      </c>
      <c r="E369" t="inlineStr">
        <is>
          <t>NÄSSJÖ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37877-2025</t>
        </is>
      </c>
      <c r="B370" s="1" t="n">
        <v>45880</v>
      </c>
      <c r="C370" s="1" t="n">
        <v>45925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45563-2025</t>
        </is>
      </c>
      <c r="B371" s="1" t="n">
        <v>45922.64782407408</v>
      </c>
      <c r="C371" s="1" t="n">
        <v>45925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33383-2024</t>
        </is>
      </c>
      <c r="B372" s="1" t="n">
        <v>45519</v>
      </c>
      <c r="C372" s="1" t="n">
        <v>45925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28340-2023</t>
        </is>
      </c>
      <c r="B373" s="1" t="n">
        <v>45099</v>
      </c>
      <c r="C373" s="1" t="n">
        <v>45925</v>
      </c>
      <c r="D373" t="inlineStr">
        <is>
          <t>JÖNKÖPINGS LÄN</t>
        </is>
      </c>
      <c r="E373" t="inlineStr">
        <is>
          <t>NÄSSJÖ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46125-2025</t>
        </is>
      </c>
      <c r="B374" s="1" t="n">
        <v>45924.58829861111</v>
      </c>
      <c r="C374" s="1" t="n">
        <v>45925</v>
      </c>
      <c r="D374" t="inlineStr">
        <is>
          <t>JÖNKÖPINGS LÄN</t>
        </is>
      </c>
      <c r="E374" t="inlineStr">
        <is>
          <t>NÄSSJÖ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45051-2025</t>
        </is>
      </c>
      <c r="B375" s="1" t="n">
        <v>45919</v>
      </c>
      <c r="C375" s="1" t="n">
        <v>45925</v>
      </c>
      <c r="D375" t="inlineStr">
        <is>
          <t>JÖNKÖPINGS LÄN</t>
        </is>
      </c>
      <c r="E375" t="inlineStr">
        <is>
          <t>NÄSSJÖ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HYPERLINK("https://klasma.github.io/Logging_0682/knärot/A 45051-2025 karta knärot.png", "A 45051-2025")</f>
        <v/>
      </c>
      <c r="V375">
        <f>HYPERLINK("https://klasma.github.io/Logging_0682/klagomål/A 45051-2025 FSC-klagomål.docx", "A 45051-2025")</f>
        <v/>
      </c>
      <c r="W375">
        <f>HYPERLINK("https://klasma.github.io/Logging_0682/klagomålsmail/A 45051-2025 FSC-klagomål mail.docx", "A 45051-2025")</f>
        <v/>
      </c>
      <c r="X375">
        <f>HYPERLINK("https://klasma.github.io/Logging_0682/tillsyn/A 45051-2025 tillsynsbegäran.docx", "A 45051-2025")</f>
        <v/>
      </c>
      <c r="Y375">
        <f>HYPERLINK("https://klasma.github.io/Logging_0682/tillsynsmail/A 45051-2025 tillsynsbegäran mail.docx", "A 45051-2025")</f>
        <v/>
      </c>
    </row>
    <row r="376" ht="15" customHeight="1">
      <c r="A376" t="inlineStr">
        <is>
          <t>A 52241-2022</t>
        </is>
      </c>
      <c r="B376" s="1" t="n">
        <v>44873.59988425926</v>
      </c>
      <c r="C376" s="1" t="n">
        <v>45925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53636-2024</t>
        </is>
      </c>
      <c r="B377" s="1" t="n">
        <v>45614.85831018518</v>
      </c>
      <c r="C377" s="1" t="n">
        <v>45925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45925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1489-2025</t>
        </is>
      </c>
      <c r="B379" s="1" t="n">
        <v>45670</v>
      </c>
      <c r="C379" s="1" t="n">
        <v>45925</v>
      </c>
      <c r="D379" t="inlineStr">
        <is>
          <t>JÖNKÖPINGS LÄN</t>
        </is>
      </c>
      <c r="E379" t="inlineStr">
        <is>
          <t>NÄSSJÖ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37844-2025</t>
        </is>
      </c>
      <c r="B380" s="1" t="n">
        <v>45881.43841435185</v>
      </c>
      <c r="C380" s="1" t="n">
        <v>45925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50734-2024</t>
        </is>
      </c>
      <c r="B381" s="1" t="n">
        <v>45602.39266203704</v>
      </c>
      <c r="C381" s="1" t="n">
        <v>45925</v>
      </c>
      <c r="D381" t="inlineStr">
        <is>
          <t>JÖNKÖPINGS LÄN</t>
        </is>
      </c>
      <c r="E381" t="inlineStr">
        <is>
          <t>NÄSSJÖ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3386-2025</t>
        </is>
      </c>
      <c r="B382" s="1" t="n">
        <v>45680.34590277778</v>
      </c>
      <c r="C382" s="1" t="n">
        <v>45925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46096-2025</t>
        </is>
      </c>
      <c r="B383" s="1" t="n">
        <v>45924</v>
      </c>
      <c r="C383" s="1" t="n">
        <v>45925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40955-2023</t>
        </is>
      </c>
      <c r="B384" s="1" t="n">
        <v>45169</v>
      </c>
      <c r="C384" s="1" t="n">
        <v>45925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37847-2025</t>
        </is>
      </c>
      <c r="B385" s="1" t="n">
        <v>45881.44418981481</v>
      </c>
      <c r="C385" s="1" t="n">
        <v>45925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23623-2023</t>
        </is>
      </c>
      <c r="B386" s="1" t="n">
        <v>45077</v>
      </c>
      <c r="C386" s="1" t="n">
        <v>45925</v>
      </c>
      <c r="D386" t="inlineStr">
        <is>
          <t>JÖNKÖPINGS LÄN</t>
        </is>
      </c>
      <c r="E386" t="inlineStr">
        <is>
          <t>NÄSSJÖ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45881-2025</t>
        </is>
      </c>
      <c r="B387" s="1" t="n">
        <v>45923.66177083334</v>
      </c>
      <c r="C387" s="1" t="n">
        <v>45925</v>
      </c>
      <c r="D387" t="inlineStr">
        <is>
          <t>JÖNKÖPINGS LÄN</t>
        </is>
      </c>
      <c r="E387" t="inlineStr">
        <is>
          <t>NÄSSJÖ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46124-2025</t>
        </is>
      </c>
      <c r="B388" s="1" t="n">
        <v>45924.58665509259</v>
      </c>
      <c r="C388" s="1" t="n">
        <v>45925</v>
      </c>
      <c r="D388" t="inlineStr">
        <is>
          <t>JÖNKÖPINGS LÄN</t>
        </is>
      </c>
      <c r="E388" t="inlineStr">
        <is>
          <t>NÄSSJÖ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54381-2024</t>
        </is>
      </c>
      <c r="B389" s="1" t="n">
        <v>45617.44506944445</v>
      </c>
      <c r="C389" s="1" t="n">
        <v>45925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24577-2023</t>
        </is>
      </c>
      <c r="B390" s="1" t="n">
        <v>45083.58858796296</v>
      </c>
      <c r="C390" s="1" t="n">
        <v>45925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5290-2025</t>
        </is>
      </c>
      <c r="B391" s="1" t="n">
        <v>45692</v>
      </c>
      <c r="C391" s="1" t="n">
        <v>45925</v>
      </c>
      <c r="D391" t="inlineStr">
        <is>
          <t>JÖNKÖPINGS LÄN</t>
        </is>
      </c>
      <c r="E391" t="inlineStr">
        <is>
          <t>NÄSSJÖ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8351-2025</t>
        </is>
      </c>
      <c r="B392" s="1" t="n">
        <v>45708.71021990741</v>
      </c>
      <c r="C392" s="1" t="n">
        <v>45925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22170-2023</t>
        </is>
      </c>
      <c r="B393" s="1" t="n">
        <v>45069</v>
      </c>
      <c r="C393" s="1" t="n">
        <v>45925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15325-2022</t>
        </is>
      </c>
      <c r="B394" s="1" t="n">
        <v>44659</v>
      </c>
      <c r="C394" s="1" t="n">
        <v>45925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6726-2025</t>
        </is>
      </c>
      <c r="B395" s="1" t="n">
        <v>45700.58738425926</v>
      </c>
      <c r="C395" s="1" t="n">
        <v>45925</v>
      </c>
      <c r="D395" t="inlineStr">
        <is>
          <t>JÖNKÖPINGS LÄN</t>
        </is>
      </c>
      <c r="E395" t="inlineStr">
        <is>
          <t>NÄSSJÖ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52783-2020</t>
        </is>
      </c>
      <c r="B396" s="1" t="n">
        <v>44119</v>
      </c>
      <c r="C396" s="1" t="n">
        <v>45925</v>
      </c>
      <c r="D396" t="inlineStr">
        <is>
          <t>JÖNKÖPINGS LÄN</t>
        </is>
      </c>
      <c r="E396" t="inlineStr">
        <is>
          <t>NÄSSJÖ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29006-2024</t>
        </is>
      </c>
      <c r="B397" s="1" t="n">
        <v>45481.53797453704</v>
      </c>
      <c r="C397" s="1" t="n">
        <v>45925</v>
      </c>
      <c r="D397" t="inlineStr">
        <is>
          <t>JÖNKÖPINGS LÄN</t>
        </is>
      </c>
      <c r="E397" t="inlineStr">
        <is>
          <t>NÄSSJÖ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14018-2023</t>
        </is>
      </c>
      <c r="B398" s="1" t="n">
        <v>45008.58983796297</v>
      </c>
      <c r="C398" s="1" t="n">
        <v>45925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42685-2024</t>
        </is>
      </c>
      <c r="B399" s="1" t="n">
        <v>45566.3941550926</v>
      </c>
      <c r="C399" s="1" t="n">
        <v>45925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17933-2025</t>
        </is>
      </c>
      <c r="B400" s="1" t="n">
        <v>45760</v>
      </c>
      <c r="C400" s="1" t="n">
        <v>45925</v>
      </c>
      <c r="D400" t="inlineStr">
        <is>
          <t>JÖNKÖPINGS LÄN</t>
        </is>
      </c>
      <c r="E400" t="inlineStr">
        <is>
          <t>NÄSSJÖ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17936-2025</t>
        </is>
      </c>
      <c r="B401" s="1" t="n">
        <v>45760</v>
      </c>
      <c r="C401" s="1" t="n">
        <v>45925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19186-2023</t>
        </is>
      </c>
      <c r="B402" s="1" t="n">
        <v>45046</v>
      </c>
      <c r="C402" s="1" t="n">
        <v>45925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17943-2025</t>
        </is>
      </c>
      <c r="B403" s="1" t="n">
        <v>45760</v>
      </c>
      <c r="C403" s="1" t="n">
        <v>45925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54694-2023</t>
        </is>
      </c>
      <c r="B404" s="1" t="n">
        <v>45236.29085648148</v>
      </c>
      <c r="C404" s="1" t="n">
        <v>45925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42751-2023</t>
        </is>
      </c>
      <c r="B405" s="1" t="n">
        <v>45181.67774305555</v>
      </c>
      <c r="C405" s="1" t="n">
        <v>45925</v>
      </c>
      <c r="D405" t="inlineStr">
        <is>
          <t>JÖNKÖPINGS LÄN</t>
        </is>
      </c>
      <c r="E405" t="inlineStr">
        <is>
          <t>NÄSSJÖ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1730-2025</t>
        </is>
      </c>
      <c r="B406" s="1" t="n">
        <v>45671.36034722222</v>
      </c>
      <c r="C406" s="1" t="n">
        <v>45925</v>
      </c>
      <c r="D406" t="inlineStr">
        <is>
          <t>JÖNKÖPINGS LÄN</t>
        </is>
      </c>
      <c r="E406" t="inlineStr">
        <is>
          <t>NÄSSJÖ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52236-2021</t>
        </is>
      </c>
      <c r="B407" s="1" t="n">
        <v>44463.60155092592</v>
      </c>
      <c r="C407" s="1" t="n">
        <v>45925</v>
      </c>
      <c r="D407" t="inlineStr">
        <is>
          <t>JÖNKÖPINGS LÄN</t>
        </is>
      </c>
      <c r="E407" t="inlineStr">
        <is>
          <t>NÄSSJÖ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20356-2023</t>
        </is>
      </c>
      <c r="B408" s="1" t="n">
        <v>45056.50663194444</v>
      </c>
      <c r="C408" s="1" t="n">
        <v>45925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41324-2022</t>
        </is>
      </c>
      <c r="B409" s="1" t="n">
        <v>44826</v>
      </c>
      <c r="C409" s="1" t="n">
        <v>45925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7357-2025</t>
        </is>
      </c>
      <c r="B410" s="1" t="n">
        <v>45704</v>
      </c>
      <c r="C410" s="1" t="n">
        <v>45925</v>
      </c>
      <c r="D410" t="inlineStr">
        <is>
          <t>JÖNKÖPINGS LÄN</t>
        </is>
      </c>
      <c r="E410" t="inlineStr">
        <is>
          <t>NÄSSJÖ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2759-2021</t>
        </is>
      </c>
      <c r="B411" s="1" t="n">
        <v>44215</v>
      </c>
      <c r="C411" s="1" t="n">
        <v>45925</v>
      </c>
      <c r="D411" t="inlineStr">
        <is>
          <t>JÖNKÖPINGS LÄN</t>
        </is>
      </c>
      <c r="E411" t="inlineStr">
        <is>
          <t>NÄSSJÖ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65131-2020</t>
        </is>
      </c>
      <c r="B412" s="1" t="n">
        <v>44172</v>
      </c>
      <c r="C412" s="1" t="n">
        <v>45925</v>
      </c>
      <c r="D412" t="inlineStr">
        <is>
          <t>JÖNKÖPINGS LÄN</t>
        </is>
      </c>
      <c r="E412" t="inlineStr">
        <is>
          <t>NÄSSJÖ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39582-2023</t>
        </is>
      </c>
      <c r="B413" s="1" t="n">
        <v>45163</v>
      </c>
      <c r="C413" s="1" t="n">
        <v>45925</v>
      </c>
      <c r="D413" t="inlineStr">
        <is>
          <t>JÖNKÖPINGS LÄN</t>
        </is>
      </c>
      <c r="E413" t="inlineStr">
        <is>
          <t>NÄSSJÖ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17391-2025</t>
        </is>
      </c>
      <c r="B414" s="1" t="n">
        <v>45757</v>
      </c>
      <c r="C414" s="1" t="n">
        <v>45925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55601-2023</t>
        </is>
      </c>
      <c r="B415" s="1" t="n">
        <v>45238.69797453703</v>
      </c>
      <c r="C415" s="1" t="n">
        <v>45925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59888-2023</t>
        </is>
      </c>
      <c r="B416" s="1" t="n">
        <v>45257.60269675926</v>
      </c>
      <c r="C416" s="1" t="n">
        <v>45925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63635-2023</t>
        </is>
      </c>
      <c r="B417" s="1" t="n">
        <v>45275</v>
      </c>
      <c r="C417" s="1" t="n">
        <v>45925</v>
      </c>
      <c r="D417" t="inlineStr">
        <is>
          <t>JÖNKÖPINGS LÄN</t>
        </is>
      </c>
      <c r="E417" t="inlineStr">
        <is>
          <t>NÄSSJÖ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12576-2025</t>
        </is>
      </c>
      <c r="B418" s="1" t="n">
        <v>45732.44554398148</v>
      </c>
      <c r="C418" s="1" t="n">
        <v>45925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7736-2022</t>
        </is>
      </c>
      <c r="B419" s="1" t="n">
        <v>44608</v>
      </c>
      <c r="C419" s="1" t="n">
        <v>45925</v>
      </c>
      <c r="D419" t="inlineStr">
        <is>
          <t>JÖNKÖPINGS LÄN</t>
        </is>
      </c>
      <c r="E419" t="inlineStr">
        <is>
          <t>NÄSSJÖ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49339-2022</t>
        </is>
      </c>
      <c r="B420" s="1" t="n">
        <v>44858</v>
      </c>
      <c r="C420" s="1" t="n">
        <v>45925</v>
      </c>
      <c r="D420" t="inlineStr">
        <is>
          <t>JÖNKÖPINGS LÄN</t>
        </is>
      </c>
      <c r="E420" t="inlineStr">
        <is>
          <t>NÄSSJÖ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27215-2023</t>
        </is>
      </c>
      <c r="B421" s="1" t="n">
        <v>45096</v>
      </c>
      <c r="C421" s="1" t="n">
        <v>45925</v>
      </c>
      <c r="D421" t="inlineStr">
        <is>
          <t>JÖNKÖPINGS LÄN</t>
        </is>
      </c>
      <c r="E421" t="inlineStr">
        <is>
          <t>NÄSSJÖ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207-2023</t>
        </is>
      </c>
      <c r="B422" s="1" t="n">
        <v>44928</v>
      </c>
      <c r="C422" s="1" t="n">
        <v>45925</v>
      </c>
      <c r="D422" t="inlineStr">
        <is>
          <t>JÖNKÖPINGS LÄN</t>
        </is>
      </c>
      <c r="E422" t="inlineStr">
        <is>
          <t>NÄSSJÖ</t>
        </is>
      </c>
      <c r="G422" t="n">
        <v>13.7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210-2023</t>
        </is>
      </c>
      <c r="B423" s="1" t="n">
        <v>44928.61333333333</v>
      </c>
      <c r="C423" s="1" t="n">
        <v>45925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7052-2024</t>
        </is>
      </c>
      <c r="B424" s="1" t="n">
        <v>45343.63950231481</v>
      </c>
      <c r="C424" s="1" t="n">
        <v>45925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22783-2024</t>
        </is>
      </c>
      <c r="B425" s="1" t="n">
        <v>45448</v>
      </c>
      <c r="C425" s="1" t="n">
        <v>45925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16525-2025</t>
        </is>
      </c>
      <c r="B426" s="1" t="n">
        <v>45751.64311342593</v>
      </c>
      <c r="C426" s="1" t="n">
        <v>45925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52937-2024</t>
        </is>
      </c>
      <c r="B427" s="1" t="n">
        <v>45610.79056712963</v>
      </c>
      <c r="C427" s="1" t="n">
        <v>45925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17319-2025</t>
        </is>
      </c>
      <c r="B428" s="1" t="n">
        <v>45756</v>
      </c>
      <c r="C428" s="1" t="n">
        <v>45925</v>
      </c>
      <c r="D428" t="inlineStr">
        <is>
          <t>JÖNKÖPINGS LÄN</t>
        </is>
      </c>
      <c r="E428" t="inlineStr">
        <is>
          <t>NÄSSJÖ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12595-2024</t>
        </is>
      </c>
      <c r="B429" s="1" t="n">
        <v>45380.30173611111</v>
      </c>
      <c r="C429" s="1" t="n">
        <v>45925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10408-2024</t>
        </is>
      </c>
      <c r="B430" s="1" t="n">
        <v>45365.69532407408</v>
      </c>
      <c r="C430" s="1" t="n">
        <v>45925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16040-2025</t>
        </is>
      </c>
      <c r="B431" s="1" t="n">
        <v>45748</v>
      </c>
      <c r="C431" s="1" t="n">
        <v>45925</v>
      </c>
      <c r="D431" t="inlineStr">
        <is>
          <t>JÖNKÖPINGS LÄN</t>
        </is>
      </c>
      <c r="E431" t="inlineStr">
        <is>
          <t>NÄSSJÖ</t>
        </is>
      </c>
      <c r="F431" t="inlineStr">
        <is>
          <t>Kyrkan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60838-2024</t>
        </is>
      </c>
      <c r="B432" s="1" t="n">
        <v>45644</v>
      </c>
      <c r="C432" s="1" t="n">
        <v>45925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56411-2024</t>
        </is>
      </c>
      <c r="B433" s="1" t="n">
        <v>45625</v>
      </c>
      <c r="C433" s="1" t="n">
        <v>45925</v>
      </c>
      <c r="D433" t="inlineStr">
        <is>
          <t>JÖNKÖPINGS LÄN</t>
        </is>
      </c>
      <c r="E433" t="inlineStr">
        <is>
          <t>NÄSSJÖ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12950-2025</t>
        </is>
      </c>
      <c r="B434" s="1" t="n">
        <v>45734.39568287037</v>
      </c>
      <c r="C434" s="1" t="n">
        <v>45925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3693-2022</t>
        </is>
      </c>
      <c r="B435" s="1" t="n">
        <v>44586.58008101852</v>
      </c>
      <c r="C435" s="1" t="n">
        <v>45925</v>
      </c>
      <c r="D435" t="inlineStr">
        <is>
          <t>JÖNKÖPINGS LÄN</t>
        </is>
      </c>
      <c r="E435" t="inlineStr">
        <is>
          <t>NÄSSJÖ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15862-2022</t>
        </is>
      </c>
      <c r="B436" s="1" t="n">
        <v>44664</v>
      </c>
      <c r="C436" s="1" t="n">
        <v>45925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8097-2025</t>
        </is>
      </c>
      <c r="B437" s="1" t="n">
        <v>45707.68733796296</v>
      </c>
      <c r="C437" s="1" t="n">
        <v>45925</v>
      </c>
      <c r="D437" t="inlineStr">
        <is>
          <t>JÖNKÖPINGS LÄN</t>
        </is>
      </c>
      <c r="E437" t="inlineStr">
        <is>
          <t>NÄSSJÖ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30001-2023</t>
        </is>
      </c>
      <c r="B438" s="1" t="n">
        <v>45109.71393518519</v>
      </c>
      <c r="C438" s="1" t="n">
        <v>45925</v>
      </c>
      <c r="D438" t="inlineStr">
        <is>
          <t>JÖNKÖPINGS LÄN</t>
        </is>
      </c>
      <c r="E438" t="inlineStr">
        <is>
          <t>NÄSSJÖ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12577-2025</t>
        </is>
      </c>
      <c r="B439" s="1" t="n">
        <v>45732.45341435185</v>
      </c>
      <c r="C439" s="1" t="n">
        <v>45925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13912-2024</t>
        </is>
      </c>
      <c r="B440" s="1" t="n">
        <v>45391.76744212963</v>
      </c>
      <c r="C440" s="1" t="n">
        <v>45925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13914-2024</t>
        </is>
      </c>
      <c r="B441" s="1" t="n">
        <v>45391.76984953704</v>
      </c>
      <c r="C441" s="1" t="n">
        <v>45925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14656-2023</t>
        </is>
      </c>
      <c r="B442" s="1" t="n">
        <v>45013</v>
      </c>
      <c r="C442" s="1" t="n">
        <v>45925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52718-2024</t>
        </is>
      </c>
      <c r="B443" s="1" t="n">
        <v>45610</v>
      </c>
      <c r="C443" s="1" t="n">
        <v>45925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8985-2025</t>
        </is>
      </c>
      <c r="B444" s="1" t="n">
        <v>45713.53638888889</v>
      </c>
      <c r="C444" s="1" t="n">
        <v>45925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8997-2025</t>
        </is>
      </c>
      <c r="B445" s="1" t="n">
        <v>45713.55327546296</v>
      </c>
      <c r="C445" s="1" t="n">
        <v>45925</v>
      </c>
      <c r="D445" t="inlineStr">
        <is>
          <t>JÖNKÖPINGS LÄN</t>
        </is>
      </c>
      <c r="E445" t="inlineStr">
        <is>
          <t>NÄSSJÖ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4633-2024</t>
        </is>
      </c>
      <c r="B446" s="1" t="n">
        <v>45328.40877314815</v>
      </c>
      <c r="C446" s="1" t="n">
        <v>45925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4639-2024</t>
        </is>
      </c>
      <c r="B447" s="1" t="n">
        <v>45328</v>
      </c>
      <c r="C447" s="1" t="n">
        <v>45925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12657-2024</t>
        </is>
      </c>
      <c r="B448" s="1" t="n">
        <v>45380</v>
      </c>
      <c r="C448" s="1" t="n">
        <v>45925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55592-2023</t>
        </is>
      </c>
      <c r="B449" s="1" t="n">
        <v>45238.67873842592</v>
      </c>
      <c r="C449" s="1" t="n">
        <v>45925</v>
      </c>
      <c r="D449" t="inlineStr">
        <is>
          <t>JÖNKÖPINGS LÄN</t>
        </is>
      </c>
      <c r="E449" t="inlineStr">
        <is>
          <t>NÄSSJÖ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50195-2023</t>
        </is>
      </c>
      <c r="B450" s="1" t="n">
        <v>45215.84091435185</v>
      </c>
      <c r="C450" s="1" t="n">
        <v>45925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57918-2021</t>
        </is>
      </c>
      <c r="B451" s="1" t="n">
        <v>44487.27475694445</v>
      </c>
      <c r="C451" s="1" t="n">
        <v>45925</v>
      </c>
      <c r="D451" t="inlineStr">
        <is>
          <t>JÖNKÖPINGS LÄN</t>
        </is>
      </c>
      <c r="E451" t="inlineStr">
        <is>
          <t>NÄSSJÖ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20739-2025</t>
        </is>
      </c>
      <c r="B452" s="1" t="n">
        <v>45776.54270833333</v>
      </c>
      <c r="C452" s="1" t="n">
        <v>45925</v>
      </c>
      <c r="D452" t="inlineStr">
        <is>
          <t>JÖNKÖPINGS LÄN</t>
        </is>
      </c>
      <c r="E452" t="inlineStr">
        <is>
          <t>NÄSSJÖ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20737-2025</t>
        </is>
      </c>
      <c r="B453" s="1" t="n">
        <v>45776.54219907407</v>
      </c>
      <c r="C453" s="1" t="n">
        <v>45925</v>
      </c>
      <c r="D453" t="inlineStr">
        <is>
          <t>JÖNKÖPINGS LÄN</t>
        </is>
      </c>
      <c r="E453" t="inlineStr">
        <is>
          <t>NÄSSJÖ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20733-2025</t>
        </is>
      </c>
      <c r="B454" s="1" t="n">
        <v>45776.53418981482</v>
      </c>
      <c r="C454" s="1" t="n">
        <v>45925</v>
      </c>
      <c r="D454" t="inlineStr">
        <is>
          <t>JÖNKÖPINGS LÄN</t>
        </is>
      </c>
      <c r="E454" t="inlineStr">
        <is>
          <t>NÄSSJÖ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20839-2025</t>
        </is>
      </c>
      <c r="B455" s="1" t="n">
        <v>45776.85799768518</v>
      </c>
      <c r="C455" s="1" t="n">
        <v>45925</v>
      </c>
      <c r="D455" t="inlineStr">
        <is>
          <t>JÖNKÖPINGS LÄN</t>
        </is>
      </c>
      <c r="E455" t="inlineStr">
        <is>
          <t>NÄSSJÖ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15993-2022</t>
        </is>
      </c>
      <c r="B456" s="1" t="n">
        <v>44665</v>
      </c>
      <c r="C456" s="1" t="n">
        <v>45925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11120-2023</t>
        </is>
      </c>
      <c r="B457" s="1" t="n">
        <v>44992.46184027778</v>
      </c>
      <c r="C457" s="1" t="n">
        <v>45925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42079-2024</t>
        </is>
      </c>
      <c r="B458" s="1" t="n">
        <v>45562</v>
      </c>
      <c r="C458" s="1" t="n">
        <v>45925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21989-2025</t>
        </is>
      </c>
      <c r="B459" s="1" t="n">
        <v>45784.65938657407</v>
      </c>
      <c r="C459" s="1" t="n">
        <v>45925</v>
      </c>
      <c r="D459" t="inlineStr">
        <is>
          <t>JÖNKÖPINGS LÄN</t>
        </is>
      </c>
      <c r="E459" t="inlineStr">
        <is>
          <t>NÄSSJÖ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16657-2024</t>
        </is>
      </c>
      <c r="B460" s="1" t="n">
        <v>45408.63834490741</v>
      </c>
      <c r="C460" s="1" t="n">
        <v>45925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21996-2025</t>
        </is>
      </c>
      <c r="B461" s="1" t="n">
        <v>45784.67052083334</v>
      </c>
      <c r="C461" s="1" t="n">
        <v>45925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39717-2022</t>
        </is>
      </c>
      <c r="B462" s="1" t="n">
        <v>44819.28025462963</v>
      </c>
      <c r="C462" s="1" t="n">
        <v>45925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57678-2021</t>
        </is>
      </c>
      <c r="B463" s="1" t="n">
        <v>44484.45483796296</v>
      </c>
      <c r="C463" s="1" t="n">
        <v>45925</v>
      </c>
      <c r="D463" t="inlineStr">
        <is>
          <t>JÖNKÖPINGS LÄN</t>
        </is>
      </c>
      <c r="E463" t="inlineStr">
        <is>
          <t>NÄSSJÖ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48968-2021</t>
        </is>
      </c>
      <c r="B464" s="1" t="n">
        <v>44453.40046296296</v>
      </c>
      <c r="C464" s="1" t="n">
        <v>45925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21823-2025</t>
        </is>
      </c>
      <c r="B465" s="1" t="n">
        <v>45783.8549537037</v>
      </c>
      <c r="C465" s="1" t="n">
        <v>45925</v>
      </c>
      <c r="D465" t="inlineStr">
        <is>
          <t>JÖNKÖPINGS LÄN</t>
        </is>
      </c>
      <c r="E465" t="inlineStr">
        <is>
          <t>NÄSSJÖ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21997-2025</t>
        </is>
      </c>
      <c r="B466" s="1" t="n">
        <v>45784.67101851852</v>
      </c>
      <c r="C466" s="1" t="n">
        <v>45925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63743-2023</t>
        </is>
      </c>
      <c r="B467" s="1" t="n">
        <v>45277.82450231481</v>
      </c>
      <c r="C467" s="1" t="n">
        <v>45925</v>
      </c>
      <c r="D467" t="inlineStr">
        <is>
          <t>JÖNKÖPINGS LÄN</t>
        </is>
      </c>
      <c r="E467" t="inlineStr">
        <is>
          <t>NÄSSJÖ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39444-2023</t>
        </is>
      </c>
      <c r="B468" s="1" t="n">
        <v>45163</v>
      </c>
      <c r="C468" s="1" t="n">
        <v>45925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53914-2024</t>
        </is>
      </c>
      <c r="B469" s="1" t="n">
        <v>45615.73449074074</v>
      </c>
      <c r="C469" s="1" t="n">
        <v>45925</v>
      </c>
      <c r="D469" t="inlineStr">
        <is>
          <t>JÖNKÖPINGS LÄN</t>
        </is>
      </c>
      <c r="E469" t="inlineStr">
        <is>
          <t>NÄSSJÖ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5811-2024</t>
        </is>
      </c>
      <c r="B470" s="1" t="n">
        <v>45335</v>
      </c>
      <c r="C470" s="1" t="n">
        <v>45925</v>
      </c>
      <c r="D470" t="inlineStr">
        <is>
          <t>JÖNKÖPINGS LÄN</t>
        </is>
      </c>
      <c r="E470" t="inlineStr">
        <is>
          <t>NÄSSJÖ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5891-2024</t>
        </is>
      </c>
      <c r="B471" s="1" t="n">
        <v>45335.73070601852</v>
      </c>
      <c r="C471" s="1" t="n">
        <v>45925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65253-2023</t>
        </is>
      </c>
      <c r="B472" s="1" t="n">
        <v>45290</v>
      </c>
      <c r="C472" s="1" t="n">
        <v>45925</v>
      </c>
      <c r="D472" t="inlineStr">
        <is>
          <t>JÖNKÖPINGS LÄN</t>
        </is>
      </c>
      <c r="E472" t="inlineStr">
        <is>
          <t>NÄSSJÖ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22527-2025</t>
        </is>
      </c>
      <c r="B473" s="1" t="n">
        <v>45786</v>
      </c>
      <c r="C473" s="1" t="n">
        <v>45925</v>
      </c>
      <c r="D473" t="inlineStr">
        <is>
          <t>JÖNKÖPINGS LÄN</t>
        </is>
      </c>
      <c r="E473" t="inlineStr">
        <is>
          <t>NÄSSJÖ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22168-2025</t>
        </is>
      </c>
      <c r="B474" s="1" t="n">
        <v>45785.59581018519</v>
      </c>
      <c r="C474" s="1" t="n">
        <v>45925</v>
      </c>
      <c r="D474" t="inlineStr">
        <is>
          <t>JÖNKÖPINGS LÄN</t>
        </is>
      </c>
      <c r="E474" t="inlineStr">
        <is>
          <t>NÄSSJÖ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11523-2023</t>
        </is>
      </c>
      <c r="B475" s="1" t="n">
        <v>44993.72670138889</v>
      </c>
      <c r="C475" s="1" t="n">
        <v>45925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4550-2023</t>
        </is>
      </c>
      <c r="B476" s="1" t="n">
        <v>44956</v>
      </c>
      <c r="C476" s="1" t="n">
        <v>45925</v>
      </c>
      <c r="D476" t="inlineStr">
        <is>
          <t>JÖNKÖPINGS LÄN</t>
        </is>
      </c>
      <c r="E476" t="inlineStr">
        <is>
          <t>NÄSSJÖ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63695-2023</t>
        </is>
      </c>
      <c r="B477" s="1" t="n">
        <v>45275.70342592592</v>
      </c>
      <c r="C477" s="1" t="n">
        <v>45925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50020-2024</t>
        </is>
      </c>
      <c r="B478" s="1" t="n">
        <v>45599.49371527778</v>
      </c>
      <c r="C478" s="1" t="n">
        <v>45925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29403-2023</t>
        </is>
      </c>
      <c r="B479" s="1" t="n">
        <v>45106</v>
      </c>
      <c r="C479" s="1" t="n">
        <v>45925</v>
      </c>
      <c r="D479" t="inlineStr">
        <is>
          <t>JÖNKÖPINGS LÄN</t>
        </is>
      </c>
      <c r="E479" t="inlineStr">
        <is>
          <t>NÄSSJÖ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7175-2022</t>
        </is>
      </c>
      <c r="B480" s="1" t="n">
        <v>44605.34027777778</v>
      </c>
      <c r="C480" s="1" t="n">
        <v>45925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3647-2024</t>
        </is>
      </c>
      <c r="B481" s="1" t="n">
        <v>45320</v>
      </c>
      <c r="C481" s="1" t="n">
        <v>45925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23376-2025</t>
        </is>
      </c>
      <c r="B482" s="1" t="n">
        <v>45791.79378472222</v>
      </c>
      <c r="C482" s="1" t="n">
        <v>45925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23378-2025</t>
        </is>
      </c>
      <c r="B483" s="1" t="n">
        <v>45791.80203703704</v>
      </c>
      <c r="C483" s="1" t="n">
        <v>45925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23381-2025</t>
        </is>
      </c>
      <c r="B484" s="1" t="n">
        <v>45791.80574074074</v>
      </c>
      <c r="C484" s="1" t="n">
        <v>45925</v>
      </c>
      <c r="D484" t="inlineStr">
        <is>
          <t>JÖNKÖPINGS LÄN</t>
        </is>
      </c>
      <c r="E484" t="inlineStr">
        <is>
          <t>NÄSSJÖ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47008-2024</t>
        </is>
      </c>
      <c r="B485" s="1" t="n">
        <v>45586.38421296296</v>
      </c>
      <c r="C485" s="1" t="n">
        <v>45925</v>
      </c>
      <c r="D485" t="inlineStr">
        <is>
          <t>JÖNKÖPINGS LÄN</t>
        </is>
      </c>
      <c r="E485" t="inlineStr">
        <is>
          <t>NÄSSJÖ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23377-2025</t>
        </is>
      </c>
      <c r="B486" s="1" t="n">
        <v>45791.79814814815</v>
      </c>
      <c r="C486" s="1" t="n">
        <v>45925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23379-2025</t>
        </is>
      </c>
      <c r="B487" s="1" t="n">
        <v>45791.8044212963</v>
      </c>
      <c r="C487" s="1" t="n">
        <v>45925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23382-2025</t>
        </is>
      </c>
      <c r="B488" s="1" t="n">
        <v>45791.81430555556</v>
      </c>
      <c r="C488" s="1" t="n">
        <v>45925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23388-2025</t>
        </is>
      </c>
      <c r="B489" s="1" t="n">
        <v>45791.85385416666</v>
      </c>
      <c r="C489" s="1" t="n">
        <v>45925</v>
      </c>
      <c r="D489" t="inlineStr">
        <is>
          <t>JÖNKÖPINGS LÄN</t>
        </is>
      </c>
      <c r="E489" t="inlineStr">
        <is>
          <t>NÄSSJÖ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11716-2024</t>
        </is>
      </c>
      <c r="B490" s="1" t="n">
        <v>45373.63032407407</v>
      </c>
      <c r="C490" s="1" t="n">
        <v>45925</v>
      </c>
      <c r="D490" t="inlineStr">
        <is>
          <t>JÖNKÖPINGS LÄN</t>
        </is>
      </c>
      <c r="E490" t="inlineStr">
        <is>
          <t>NÄSSJÖ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24113-2025</t>
        </is>
      </c>
      <c r="B491" s="1" t="n">
        <v>45796.61146990741</v>
      </c>
      <c r="C491" s="1" t="n">
        <v>45925</v>
      </c>
      <c r="D491" t="inlineStr">
        <is>
          <t>JÖNKÖPINGS LÄN</t>
        </is>
      </c>
      <c r="E491" t="inlineStr">
        <is>
          <t>NÄSSJÖ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23925-2025</t>
        </is>
      </c>
      <c r="B492" s="1" t="n">
        <v>45795.42396990741</v>
      </c>
      <c r="C492" s="1" t="n">
        <v>45925</v>
      </c>
      <c r="D492" t="inlineStr">
        <is>
          <t>JÖNKÖPINGS LÄN</t>
        </is>
      </c>
      <c r="E492" t="inlineStr">
        <is>
          <t>NÄSSJÖ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45925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23924-2025</t>
        </is>
      </c>
      <c r="B494" s="1" t="n">
        <v>45795.41767361111</v>
      </c>
      <c r="C494" s="1" t="n">
        <v>45925</v>
      </c>
      <c r="D494" t="inlineStr">
        <is>
          <t>JÖNKÖPINGS LÄN</t>
        </is>
      </c>
      <c r="E494" t="inlineStr">
        <is>
          <t>NÄSSJÖ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45925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60429-2023</t>
        </is>
      </c>
      <c r="B496" s="1" t="n">
        <v>45259.51030092593</v>
      </c>
      <c r="C496" s="1" t="n">
        <v>45925</v>
      </c>
      <c r="D496" t="inlineStr">
        <is>
          <t>JÖNKÖPINGS LÄN</t>
        </is>
      </c>
      <c r="E496" t="inlineStr">
        <is>
          <t>NÄSSJÖ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39197-2023</t>
        </is>
      </c>
      <c r="B497" s="1" t="n">
        <v>45162</v>
      </c>
      <c r="C497" s="1" t="n">
        <v>45925</v>
      </c>
      <c r="D497" t="inlineStr">
        <is>
          <t>JÖNKÖPINGS LÄN</t>
        </is>
      </c>
      <c r="E497" t="inlineStr">
        <is>
          <t>NÄSSJÖ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48465-2024</t>
        </is>
      </c>
      <c r="B498" s="1" t="n">
        <v>45590.94525462963</v>
      </c>
      <c r="C498" s="1" t="n">
        <v>45925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63630-2023</t>
        </is>
      </c>
      <c r="B499" s="1" t="n">
        <v>45275</v>
      </c>
      <c r="C499" s="1" t="n">
        <v>45925</v>
      </c>
      <c r="D499" t="inlineStr">
        <is>
          <t>JÖNKÖPINGS LÄN</t>
        </is>
      </c>
      <c r="E499" t="inlineStr">
        <is>
          <t>NÄSSJÖ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60724-2023</t>
        </is>
      </c>
      <c r="B500" s="1" t="n">
        <v>45260.5359837963</v>
      </c>
      <c r="C500" s="1" t="n">
        <v>45925</v>
      </c>
      <c r="D500" t="inlineStr">
        <is>
          <t>JÖNKÖPINGS LÄN</t>
        </is>
      </c>
      <c r="E500" t="inlineStr">
        <is>
          <t>NÄSSJÖ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29987-2023</t>
        </is>
      </c>
      <c r="B501" s="1" t="n">
        <v>45109</v>
      </c>
      <c r="C501" s="1" t="n">
        <v>45925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29988-2023</t>
        </is>
      </c>
      <c r="B502" s="1" t="n">
        <v>45109</v>
      </c>
      <c r="C502" s="1" t="n">
        <v>45925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34377-2023</t>
        </is>
      </c>
      <c r="B503" s="1" t="n">
        <v>45132</v>
      </c>
      <c r="C503" s="1" t="n">
        <v>45925</v>
      </c>
      <c r="D503" t="inlineStr">
        <is>
          <t>JÖNKÖPINGS LÄN</t>
        </is>
      </c>
      <c r="E503" t="inlineStr">
        <is>
          <t>NÄSSJÖ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8212-2022</t>
        </is>
      </c>
      <c r="B504" s="1" t="n">
        <v>44609</v>
      </c>
      <c r="C504" s="1" t="n">
        <v>45925</v>
      </c>
      <c r="D504" t="inlineStr">
        <is>
          <t>JÖNKÖPINGS LÄN</t>
        </is>
      </c>
      <c r="E504" t="inlineStr">
        <is>
          <t>NÄSSJÖ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11903-2025</t>
        </is>
      </c>
      <c r="B505" s="1" t="n">
        <v>45728.48049768519</v>
      </c>
      <c r="C505" s="1" t="n">
        <v>45925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13759-2025</t>
        </is>
      </c>
      <c r="B506" s="1" t="n">
        <v>45737.42380787037</v>
      </c>
      <c r="C506" s="1" t="n">
        <v>45925</v>
      </c>
      <c r="D506" t="inlineStr">
        <is>
          <t>JÖNKÖPINGS LÄN</t>
        </is>
      </c>
      <c r="E506" t="inlineStr">
        <is>
          <t>NÄSSJÖ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12031-2025</t>
        </is>
      </c>
      <c r="B507" s="1" t="n">
        <v>45728</v>
      </c>
      <c r="C507" s="1" t="n">
        <v>45925</v>
      </c>
      <c r="D507" t="inlineStr">
        <is>
          <t>JÖNKÖPINGS LÄN</t>
        </is>
      </c>
      <c r="E507" t="inlineStr">
        <is>
          <t>NÄSSJÖ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39252-2023</t>
        </is>
      </c>
      <c r="B508" s="1" t="n">
        <v>45166.47346064815</v>
      </c>
      <c r="C508" s="1" t="n">
        <v>45925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14641-2025</t>
        </is>
      </c>
      <c r="B509" s="1" t="n">
        <v>45742</v>
      </c>
      <c r="C509" s="1" t="n">
        <v>45925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10946-2025</t>
        </is>
      </c>
      <c r="B510" s="1" t="n">
        <v>45723.3394675926</v>
      </c>
      <c r="C510" s="1" t="n">
        <v>45925</v>
      </c>
      <c r="D510" t="inlineStr">
        <is>
          <t>JÖNKÖPINGS LÄN</t>
        </is>
      </c>
      <c r="E510" t="inlineStr">
        <is>
          <t>NÄSSJÖ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35967-2023</t>
        </is>
      </c>
      <c r="B511" s="1" t="n">
        <v>45148</v>
      </c>
      <c r="C511" s="1" t="n">
        <v>45925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12710-2025</t>
        </is>
      </c>
      <c r="B512" s="1" t="n">
        <v>45733.47133101852</v>
      </c>
      <c r="C512" s="1" t="n">
        <v>45925</v>
      </c>
      <c r="D512" t="inlineStr">
        <is>
          <t>JÖNKÖPINGS LÄN</t>
        </is>
      </c>
      <c r="E512" t="inlineStr">
        <is>
          <t>NÄSSJÖ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8723-2024</t>
        </is>
      </c>
      <c r="B513" s="1" t="n">
        <v>45356.42046296296</v>
      </c>
      <c r="C513" s="1" t="n">
        <v>45925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13937-2025</t>
        </is>
      </c>
      <c r="B514" s="1" t="n">
        <v>45737.68915509259</v>
      </c>
      <c r="C514" s="1" t="n">
        <v>45925</v>
      </c>
      <c r="D514" t="inlineStr">
        <is>
          <t>JÖNKÖPINGS LÄN</t>
        </is>
      </c>
      <c r="E514" t="inlineStr">
        <is>
          <t>NÄSSJÖ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12288-2025</t>
        </is>
      </c>
      <c r="B515" s="1" t="n">
        <v>45729.67428240741</v>
      </c>
      <c r="C515" s="1" t="n">
        <v>45925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12305-2025</t>
        </is>
      </c>
      <c r="B516" s="1" t="n">
        <v>45729</v>
      </c>
      <c r="C516" s="1" t="n">
        <v>45925</v>
      </c>
      <c r="D516" t="inlineStr">
        <is>
          <t>JÖNKÖPINGS LÄN</t>
        </is>
      </c>
      <c r="E516" t="inlineStr">
        <is>
          <t>NÄSSJÖ</t>
        </is>
      </c>
      <c r="G516" t="n">
        <v>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49662-2023</t>
        </is>
      </c>
      <c r="B517" s="1" t="n">
        <v>45211.99126157408</v>
      </c>
      <c r="C517" s="1" t="n">
        <v>45925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63628-2023</t>
        </is>
      </c>
      <c r="B518" s="1" t="n">
        <v>45275</v>
      </c>
      <c r="C518" s="1" t="n">
        <v>45925</v>
      </c>
      <c r="D518" t="inlineStr">
        <is>
          <t>JÖNKÖPINGS LÄN</t>
        </is>
      </c>
      <c r="E518" t="inlineStr">
        <is>
          <t>NÄSSJÖ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25122-2025</t>
        </is>
      </c>
      <c r="B519" s="1" t="n">
        <v>45800.37456018518</v>
      </c>
      <c r="C519" s="1" t="n">
        <v>45925</v>
      </c>
      <c r="D519" t="inlineStr">
        <is>
          <t>JÖNKÖPINGS LÄN</t>
        </is>
      </c>
      <c r="E519" t="inlineStr">
        <is>
          <t>NÄSSJÖ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45648-2024</t>
        </is>
      </c>
      <c r="B520" s="1" t="n">
        <v>45579.48553240741</v>
      </c>
      <c r="C520" s="1" t="n">
        <v>45925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25070-2025</t>
        </is>
      </c>
      <c r="B521" s="1" t="n">
        <v>45799.76940972222</v>
      </c>
      <c r="C521" s="1" t="n">
        <v>45925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25418-2025</t>
        </is>
      </c>
      <c r="B522" s="1" t="n">
        <v>45800.67922453704</v>
      </c>
      <c r="C522" s="1" t="n">
        <v>45925</v>
      </c>
      <c r="D522" t="inlineStr">
        <is>
          <t>JÖNKÖPINGS LÄN</t>
        </is>
      </c>
      <c r="E522" t="inlineStr">
        <is>
          <t>NÄSSJÖ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47922-2020</t>
        </is>
      </c>
      <c r="B523" s="1" t="n">
        <v>44099</v>
      </c>
      <c r="C523" s="1" t="n">
        <v>45925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44766-2023</t>
        </is>
      </c>
      <c r="B524" s="1" t="n">
        <v>45190</v>
      </c>
      <c r="C524" s="1" t="n">
        <v>45925</v>
      </c>
      <c r="D524" t="inlineStr">
        <is>
          <t>JÖNKÖPINGS LÄN</t>
        </is>
      </c>
      <c r="E524" t="inlineStr">
        <is>
          <t>NÄSSJÖ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62224-2023</t>
        </is>
      </c>
      <c r="B525" s="1" t="n">
        <v>45267</v>
      </c>
      <c r="C525" s="1" t="n">
        <v>45925</v>
      </c>
      <c r="D525" t="inlineStr">
        <is>
          <t>JÖNKÖPINGS LÄN</t>
        </is>
      </c>
      <c r="E525" t="inlineStr">
        <is>
          <t>NÄSSJÖ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50730-2024</t>
        </is>
      </c>
      <c r="B526" s="1" t="n">
        <v>45602.38793981481</v>
      </c>
      <c r="C526" s="1" t="n">
        <v>45925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39739-2024</t>
        </is>
      </c>
      <c r="B527" s="1" t="n">
        <v>45552</v>
      </c>
      <c r="C527" s="1" t="n">
        <v>45925</v>
      </c>
      <c r="D527" t="inlineStr">
        <is>
          <t>JÖNKÖPINGS LÄN</t>
        </is>
      </c>
      <c r="E527" t="inlineStr">
        <is>
          <t>NÄSSJÖ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57933-2020</t>
        </is>
      </c>
      <c r="B528" s="1" t="n">
        <v>44141</v>
      </c>
      <c r="C528" s="1" t="n">
        <v>45925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25647-2025</t>
        </is>
      </c>
      <c r="B529" s="1" t="n">
        <v>45803.60734953704</v>
      </c>
      <c r="C529" s="1" t="n">
        <v>45925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26059-2025</t>
        </is>
      </c>
      <c r="B530" s="1" t="n">
        <v>45804</v>
      </c>
      <c r="C530" s="1" t="n">
        <v>45925</v>
      </c>
      <c r="D530" t="inlineStr">
        <is>
          <t>JÖNKÖPINGS LÄN</t>
        </is>
      </c>
      <c r="E530" t="inlineStr">
        <is>
          <t>NÄSSJÖ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25841-2025</t>
        </is>
      </c>
      <c r="B531" s="1" t="n">
        <v>45804.4540162037</v>
      </c>
      <c r="C531" s="1" t="n">
        <v>45925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22164-2024</t>
        </is>
      </c>
      <c r="B532" s="1" t="n">
        <v>45446</v>
      </c>
      <c r="C532" s="1" t="n">
        <v>45925</v>
      </c>
      <c r="D532" t="inlineStr">
        <is>
          <t>JÖNKÖPINGS LÄN</t>
        </is>
      </c>
      <c r="E532" t="inlineStr">
        <is>
          <t>NÄSSJÖ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53602-2024</t>
        </is>
      </c>
      <c r="B533" s="1" t="n">
        <v>45611</v>
      </c>
      <c r="C533" s="1" t="n">
        <v>45925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14785-2025</t>
        </is>
      </c>
      <c r="B534" s="1" t="n">
        <v>45742.76501157408</v>
      </c>
      <c r="C534" s="1" t="n">
        <v>45925</v>
      </c>
      <c r="D534" t="inlineStr">
        <is>
          <t>JÖNKÖPINGS LÄN</t>
        </is>
      </c>
      <c r="E534" t="inlineStr">
        <is>
          <t>NÄSSJÖ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14787-2025</t>
        </is>
      </c>
      <c r="B535" s="1" t="n">
        <v>45742.76833333333</v>
      </c>
      <c r="C535" s="1" t="n">
        <v>45925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31172-2024</t>
        </is>
      </c>
      <c r="B536" s="1" t="n">
        <v>45503</v>
      </c>
      <c r="C536" s="1" t="n">
        <v>45925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33533-2023</t>
        </is>
      </c>
      <c r="B537" s="1" t="n">
        <v>45118</v>
      </c>
      <c r="C537" s="1" t="n">
        <v>45925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5888-2024</t>
        </is>
      </c>
      <c r="B538" s="1" t="n">
        <v>45335.7203125</v>
      </c>
      <c r="C538" s="1" t="n">
        <v>45925</v>
      </c>
      <c r="D538" t="inlineStr">
        <is>
          <t>JÖNKÖPINGS LÄN</t>
        </is>
      </c>
      <c r="E538" t="inlineStr">
        <is>
          <t>NÄSSJÖ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26278-2025</t>
        </is>
      </c>
      <c r="B539" s="1" t="n">
        <v>45805.60444444444</v>
      </c>
      <c r="C539" s="1" t="n">
        <v>45925</v>
      </c>
      <c r="D539" t="inlineStr">
        <is>
          <t>JÖNKÖPINGS LÄN</t>
        </is>
      </c>
      <c r="E539" t="inlineStr">
        <is>
          <t>NÄSSJÖ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26239-2025</t>
        </is>
      </c>
      <c r="B540" s="1" t="n">
        <v>45805</v>
      </c>
      <c r="C540" s="1" t="n">
        <v>45925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30412-2023</t>
        </is>
      </c>
      <c r="B541" s="1" t="n">
        <v>45111</v>
      </c>
      <c r="C541" s="1" t="n">
        <v>45925</v>
      </c>
      <c r="D541" t="inlineStr">
        <is>
          <t>JÖNKÖPINGS LÄN</t>
        </is>
      </c>
      <c r="E541" t="inlineStr">
        <is>
          <t>NÄSSJÖ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60894-2024</t>
        </is>
      </c>
      <c r="B542" s="1" t="n">
        <v>45645.2422337963</v>
      </c>
      <c r="C542" s="1" t="n">
        <v>45925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55696-2024</t>
        </is>
      </c>
      <c r="B543" s="1" t="n">
        <v>45622.68585648148</v>
      </c>
      <c r="C543" s="1" t="n">
        <v>45925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50562-2023</t>
        </is>
      </c>
      <c r="B544" s="1" t="n">
        <v>45210</v>
      </c>
      <c r="C544" s="1" t="n">
        <v>45925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7876-2025</t>
        </is>
      </c>
      <c r="B545" s="1" t="n">
        <v>45706.75940972222</v>
      </c>
      <c r="C545" s="1" t="n">
        <v>45925</v>
      </c>
      <c r="D545" t="inlineStr">
        <is>
          <t>JÖNKÖPINGS LÄN</t>
        </is>
      </c>
      <c r="E545" t="inlineStr">
        <is>
          <t>NÄSSJÖ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5230-2022</t>
        </is>
      </c>
      <c r="B546" s="1" t="n">
        <v>44594</v>
      </c>
      <c r="C546" s="1" t="n">
        <v>45925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64665-2023</t>
        </is>
      </c>
      <c r="B547" s="1" t="n">
        <v>45281.60759259259</v>
      </c>
      <c r="C547" s="1" t="n">
        <v>45925</v>
      </c>
      <c r="D547" t="inlineStr">
        <is>
          <t>JÖNKÖPINGS LÄN</t>
        </is>
      </c>
      <c r="E547" t="inlineStr">
        <is>
          <t>NÄSSJÖ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42299-2024</t>
        </is>
      </c>
      <c r="B548" s="1" t="n">
        <v>45562</v>
      </c>
      <c r="C548" s="1" t="n">
        <v>45925</v>
      </c>
      <c r="D548" t="inlineStr">
        <is>
          <t>JÖNKÖPINGS LÄN</t>
        </is>
      </c>
      <c r="E548" t="inlineStr">
        <is>
          <t>NÄSSJÖ</t>
        </is>
      </c>
      <c r="F548" t="inlineStr">
        <is>
          <t>Kyrkan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10682-2023</t>
        </is>
      </c>
      <c r="B549" s="1" t="n">
        <v>44988.55130787037</v>
      </c>
      <c r="C549" s="1" t="n">
        <v>45925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54656-2024</t>
        </is>
      </c>
      <c r="B550" s="1" t="n">
        <v>45617</v>
      </c>
      <c r="C550" s="1" t="n">
        <v>45925</v>
      </c>
      <c r="D550" t="inlineStr">
        <is>
          <t>JÖNKÖPINGS LÄN</t>
        </is>
      </c>
      <c r="E550" t="inlineStr">
        <is>
          <t>NÄSSJÖ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38783-2022</t>
        </is>
      </c>
      <c r="B551" s="1" t="n">
        <v>44816</v>
      </c>
      <c r="C551" s="1" t="n">
        <v>45925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50488-2024</t>
        </is>
      </c>
      <c r="B552" s="1" t="n">
        <v>45601.49810185185</v>
      </c>
      <c r="C552" s="1" t="n">
        <v>45925</v>
      </c>
      <c r="D552" t="inlineStr">
        <is>
          <t>JÖNKÖPINGS LÄN</t>
        </is>
      </c>
      <c r="E552" t="inlineStr">
        <is>
          <t>NÄSSJÖ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28279-2025</t>
        </is>
      </c>
      <c r="B553" s="1" t="n">
        <v>45818.58465277778</v>
      </c>
      <c r="C553" s="1" t="n">
        <v>45925</v>
      </c>
      <c r="D553" t="inlineStr">
        <is>
          <t>JÖNKÖPINGS LÄN</t>
        </is>
      </c>
      <c r="E553" t="inlineStr">
        <is>
          <t>NÄSSJÖ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1939-2025</t>
        </is>
      </c>
      <c r="B554" s="1" t="n">
        <v>45671.94960648148</v>
      </c>
      <c r="C554" s="1" t="n">
        <v>45925</v>
      </c>
      <c r="D554" t="inlineStr">
        <is>
          <t>JÖNKÖPINGS LÄN</t>
        </is>
      </c>
      <c r="E554" t="inlineStr">
        <is>
          <t>NÄSSJÖ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39185-2023</t>
        </is>
      </c>
      <c r="B555" s="1" t="n">
        <v>45162</v>
      </c>
      <c r="C555" s="1" t="n">
        <v>45925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11358-2024</t>
        </is>
      </c>
      <c r="B556" s="1" t="n">
        <v>45372</v>
      </c>
      <c r="C556" s="1" t="n">
        <v>45925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11363-2024</t>
        </is>
      </c>
      <c r="B557" s="1" t="n">
        <v>45372</v>
      </c>
      <c r="C557" s="1" t="n">
        <v>45925</v>
      </c>
      <c r="D557" t="inlineStr">
        <is>
          <t>JÖNKÖPINGS LÄN</t>
        </is>
      </c>
      <c r="E557" t="inlineStr">
        <is>
          <t>NÄSSJÖ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11365-2024</t>
        </is>
      </c>
      <c r="B558" s="1" t="n">
        <v>45372</v>
      </c>
      <c r="C558" s="1" t="n">
        <v>45925</v>
      </c>
      <c r="D558" t="inlineStr">
        <is>
          <t>JÖNKÖPINGS LÄN</t>
        </is>
      </c>
      <c r="E558" t="inlineStr">
        <is>
          <t>NÄSSJÖ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28277-2025</t>
        </is>
      </c>
      <c r="B559" s="1" t="n">
        <v>45818.58399305555</v>
      </c>
      <c r="C559" s="1" t="n">
        <v>45925</v>
      </c>
      <c r="D559" t="inlineStr">
        <is>
          <t>JÖNKÖPINGS LÄN</t>
        </is>
      </c>
      <c r="E559" t="inlineStr">
        <is>
          <t>NÄSSJÖ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58291-2022</t>
        </is>
      </c>
      <c r="B560" s="1" t="n">
        <v>44901</v>
      </c>
      <c r="C560" s="1" t="n">
        <v>45925</v>
      </c>
      <c r="D560" t="inlineStr">
        <is>
          <t>JÖNKÖPINGS LÄN</t>
        </is>
      </c>
      <c r="E560" t="inlineStr">
        <is>
          <t>NÄSSJÖ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28271-2025</t>
        </is>
      </c>
      <c r="B561" s="1" t="n">
        <v>45818.57579861111</v>
      </c>
      <c r="C561" s="1" t="n">
        <v>45925</v>
      </c>
      <c r="D561" t="inlineStr">
        <is>
          <t>JÖNKÖPINGS LÄN</t>
        </is>
      </c>
      <c r="E561" t="inlineStr">
        <is>
          <t>NÄSSJÖ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15819-2022</t>
        </is>
      </c>
      <c r="B562" s="1" t="n">
        <v>44664</v>
      </c>
      <c r="C562" s="1" t="n">
        <v>45925</v>
      </c>
      <c r="D562" t="inlineStr">
        <is>
          <t>JÖNKÖPINGS LÄN</t>
        </is>
      </c>
      <c r="E562" t="inlineStr">
        <is>
          <t>NÄSSJÖ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52972-2024</t>
        </is>
      </c>
      <c r="B563" s="1" t="n">
        <v>45611</v>
      </c>
      <c r="C563" s="1" t="n">
        <v>45925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28457-2023</t>
        </is>
      </c>
      <c r="B564" s="1" t="n">
        <v>45103.36048611111</v>
      </c>
      <c r="C564" s="1" t="n">
        <v>45925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28977-2025</t>
        </is>
      </c>
      <c r="B565" s="1" t="n">
        <v>45821.34864583334</v>
      </c>
      <c r="C565" s="1" t="n">
        <v>45925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29215-2025</t>
        </is>
      </c>
      <c r="B566" s="1" t="n">
        <v>45824.31346064815</v>
      </c>
      <c r="C566" s="1" t="n">
        <v>45925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29242-2025</t>
        </is>
      </c>
      <c r="B567" s="1" t="n">
        <v>45824</v>
      </c>
      <c r="C567" s="1" t="n">
        <v>45925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29002-2025</t>
        </is>
      </c>
      <c r="B568" s="1" t="n">
        <v>45821.3912037037</v>
      </c>
      <c r="C568" s="1" t="n">
        <v>45925</v>
      </c>
      <c r="D568" t="inlineStr">
        <is>
          <t>JÖNKÖPINGS LÄN</t>
        </is>
      </c>
      <c r="E568" t="inlineStr">
        <is>
          <t>NÄSSJÖ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29184-2025</t>
        </is>
      </c>
      <c r="B569" s="1" t="n">
        <v>45821</v>
      </c>
      <c r="C569" s="1" t="n">
        <v>45925</v>
      </c>
      <c r="D569" t="inlineStr">
        <is>
          <t>JÖNKÖPINGS LÄN</t>
        </is>
      </c>
      <c r="E569" t="inlineStr">
        <is>
          <t>NÄSSJÖ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29214-2025</t>
        </is>
      </c>
      <c r="B570" s="1" t="n">
        <v>45824.31116898148</v>
      </c>
      <c r="C570" s="1" t="n">
        <v>45925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29217-2025</t>
        </is>
      </c>
      <c r="B571" s="1" t="n">
        <v>45824.31563657407</v>
      </c>
      <c r="C571" s="1" t="n">
        <v>45925</v>
      </c>
      <c r="D571" t="inlineStr">
        <is>
          <t>JÖNKÖPINGS LÄN</t>
        </is>
      </c>
      <c r="E571" t="inlineStr">
        <is>
          <t>NÄSSJÖ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5970-2025</t>
        </is>
      </c>
      <c r="B572" s="1" t="n">
        <v>45695.5090625</v>
      </c>
      <c r="C572" s="1" t="n">
        <v>45925</v>
      </c>
      <c r="D572" t="inlineStr">
        <is>
          <t>JÖNKÖPINGS LÄN</t>
        </is>
      </c>
      <c r="E572" t="inlineStr">
        <is>
          <t>NÄSSJÖ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39832-2023</t>
        </is>
      </c>
      <c r="B573" s="1" t="n">
        <v>45168.32784722222</v>
      </c>
      <c r="C573" s="1" t="n">
        <v>45925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5818-2025</t>
        </is>
      </c>
      <c r="B574" s="1" t="n">
        <v>45694</v>
      </c>
      <c r="C574" s="1" t="n">
        <v>45925</v>
      </c>
      <c r="D574" t="inlineStr">
        <is>
          <t>JÖNKÖPINGS LÄN</t>
        </is>
      </c>
      <c r="E574" t="inlineStr">
        <is>
          <t>NÄSSJÖ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5744-2025</t>
        </is>
      </c>
      <c r="B575" s="1" t="n">
        <v>45694.52530092592</v>
      </c>
      <c r="C575" s="1" t="n">
        <v>45925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29179-2025</t>
        </is>
      </c>
      <c r="B576" s="1" t="n">
        <v>45821</v>
      </c>
      <c r="C576" s="1" t="n">
        <v>45925</v>
      </c>
      <c r="D576" t="inlineStr">
        <is>
          <t>JÖNKÖPINGS LÄN</t>
        </is>
      </c>
      <c r="E576" t="inlineStr">
        <is>
          <t>NÄSSJÖ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8593-2025</t>
        </is>
      </c>
      <c r="B577" s="1" t="n">
        <v>45709</v>
      </c>
      <c r="C577" s="1" t="n">
        <v>45925</v>
      </c>
      <c r="D577" t="inlineStr">
        <is>
          <t>JÖNKÖPINGS LÄN</t>
        </is>
      </c>
      <c r="E577" t="inlineStr">
        <is>
          <t>NÄSSJÖ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4327-2025</t>
        </is>
      </c>
      <c r="B578" s="1" t="n">
        <v>45685.7355787037</v>
      </c>
      <c r="C578" s="1" t="n">
        <v>45925</v>
      </c>
      <c r="D578" t="inlineStr">
        <is>
          <t>JÖNKÖPINGS LÄN</t>
        </is>
      </c>
      <c r="E578" t="inlineStr">
        <is>
          <t>NÄSSJÖ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45925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30370-2025</t>
        </is>
      </c>
      <c r="B580" s="1" t="n">
        <v>45827.56010416667</v>
      </c>
      <c r="C580" s="1" t="n">
        <v>45925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30186-2025</t>
        </is>
      </c>
      <c r="B581" s="1" t="n">
        <v>45827.34717592593</v>
      </c>
      <c r="C581" s="1" t="n">
        <v>45925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30536-2025</t>
        </is>
      </c>
      <c r="B582" s="1" t="n">
        <v>45831.36633101852</v>
      </c>
      <c r="C582" s="1" t="n">
        <v>45925</v>
      </c>
      <c r="D582" t="inlineStr">
        <is>
          <t>JÖNKÖPINGS LÄN</t>
        </is>
      </c>
      <c r="E582" t="inlineStr">
        <is>
          <t>NÄSSJÖ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7151-2025</t>
        </is>
      </c>
      <c r="B583" s="1" t="n">
        <v>45702.38320601852</v>
      </c>
      <c r="C583" s="1" t="n">
        <v>45925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30537-2025</t>
        </is>
      </c>
      <c r="B584" s="1" t="n">
        <v>45831.36836805556</v>
      </c>
      <c r="C584" s="1" t="n">
        <v>45925</v>
      </c>
      <c r="D584" t="inlineStr">
        <is>
          <t>JÖNKÖPINGS LÄN</t>
        </is>
      </c>
      <c r="E584" t="inlineStr">
        <is>
          <t>NÄSSJÖ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30970-2025</t>
        </is>
      </c>
      <c r="B585" s="1" t="n">
        <v>45832</v>
      </c>
      <c r="C585" s="1" t="n">
        <v>45925</v>
      </c>
      <c r="D585" t="inlineStr">
        <is>
          <t>JÖNKÖPINGS LÄN</t>
        </is>
      </c>
      <c r="E585" t="inlineStr">
        <is>
          <t>NÄSSJÖ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10536-2025</t>
        </is>
      </c>
      <c r="B586" s="1" t="n">
        <v>45721</v>
      </c>
      <c r="C586" s="1" t="n">
        <v>45925</v>
      </c>
      <c r="D586" t="inlineStr">
        <is>
          <t>JÖNKÖPINGS LÄN</t>
        </is>
      </c>
      <c r="E586" t="inlineStr">
        <is>
          <t>NÄSSJÖ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4306-2025</t>
        </is>
      </c>
      <c r="B587" s="1" t="n">
        <v>45685.68592592593</v>
      </c>
      <c r="C587" s="1" t="n">
        <v>45925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10332-2025</t>
        </is>
      </c>
      <c r="B588" s="1" t="n">
        <v>45720</v>
      </c>
      <c r="C588" s="1" t="n">
        <v>45925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23894-2025</t>
        </is>
      </c>
      <c r="B589" s="1" t="n">
        <v>45794.25789351852</v>
      </c>
      <c r="C589" s="1" t="n">
        <v>45925</v>
      </c>
      <c r="D589" t="inlineStr">
        <is>
          <t>JÖNKÖPINGS LÄN</t>
        </is>
      </c>
      <c r="E589" t="inlineStr">
        <is>
          <t>NÄSSJÖ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31434-2025</t>
        </is>
      </c>
      <c r="B590" s="1" t="n">
        <v>45833.49554398148</v>
      </c>
      <c r="C590" s="1" t="n">
        <v>45925</v>
      </c>
      <c r="D590" t="inlineStr">
        <is>
          <t>JÖNKÖPINGS LÄN</t>
        </is>
      </c>
      <c r="E590" t="inlineStr">
        <is>
          <t>NÄSSJÖ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32388-2025</t>
        </is>
      </c>
      <c r="B591" s="1" t="n">
        <v>45837.88903935185</v>
      </c>
      <c r="C591" s="1" t="n">
        <v>45925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32542-2025</t>
        </is>
      </c>
      <c r="B592" s="1" t="n">
        <v>45838.5287962963</v>
      </c>
      <c r="C592" s="1" t="n">
        <v>45925</v>
      </c>
      <c r="D592" t="inlineStr">
        <is>
          <t>JÖNKÖPINGS LÄN</t>
        </is>
      </c>
      <c r="E592" t="inlineStr">
        <is>
          <t>NÄSSJÖ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31679-2022</t>
        </is>
      </c>
      <c r="B593" s="1" t="n">
        <v>44776.37015046296</v>
      </c>
      <c r="C593" s="1" t="n">
        <v>45925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43695-2023</t>
        </is>
      </c>
      <c r="B594" s="1" t="n">
        <v>45187.41074074074</v>
      </c>
      <c r="C594" s="1" t="n">
        <v>45925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44360-2023</t>
        </is>
      </c>
      <c r="B595" s="1" t="n">
        <v>45188</v>
      </c>
      <c r="C595" s="1" t="n">
        <v>45925</v>
      </c>
      <c r="D595" t="inlineStr">
        <is>
          <t>JÖNKÖPINGS LÄN</t>
        </is>
      </c>
      <c r="E595" t="inlineStr">
        <is>
          <t>NÄSSJÖ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44151-2023</t>
        </is>
      </c>
      <c r="B596" s="1" t="n">
        <v>45188.47842592592</v>
      </c>
      <c r="C596" s="1" t="n">
        <v>45925</v>
      </c>
      <c r="D596" t="inlineStr">
        <is>
          <t>JÖNKÖPINGS LÄN</t>
        </is>
      </c>
      <c r="E596" t="inlineStr">
        <is>
          <t>NÄSSJÖ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16529-2025</t>
        </is>
      </c>
      <c r="B597" s="1" t="n">
        <v>45751.64454861111</v>
      </c>
      <c r="C597" s="1" t="n">
        <v>45925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43239-2021</t>
        </is>
      </c>
      <c r="B598" s="1" t="n">
        <v>44432.31958333333</v>
      </c>
      <c r="C598" s="1" t="n">
        <v>45925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40131-2021</t>
        </is>
      </c>
      <c r="B599" s="1" t="n">
        <v>44418.6292824074</v>
      </c>
      <c r="C599" s="1" t="n">
        <v>45925</v>
      </c>
      <c r="D599" t="inlineStr">
        <is>
          <t>JÖNKÖPINGS LÄN</t>
        </is>
      </c>
      <c r="E599" t="inlineStr">
        <is>
          <t>NÄSSJÖ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12720-2025</t>
        </is>
      </c>
      <c r="B600" s="1" t="n">
        <v>45733</v>
      </c>
      <c r="C600" s="1" t="n">
        <v>45925</v>
      </c>
      <c r="D600" t="inlineStr">
        <is>
          <t>JÖNKÖPINGS LÄN</t>
        </is>
      </c>
      <c r="E600" t="inlineStr">
        <is>
          <t>NÄSSJÖ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33793-2025</t>
        </is>
      </c>
      <c r="B601" s="1" t="n">
        <v>45842.42921296296</v>
      </c>
      <c r="C601" s="1" t="n">
        <v>45925</v>
      </c>
      <c r="D601" t="inlineStr">
        <is>
          <t>JÖNKÖPINGS LÄN</t>
        </is>
      </c>
      <c r="E601" t="inlineStr">
        <is>
          <t>NÄSSJÖ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33477-2025</t>
        </is>
      </c>
      <c r="B602" s="1" t="n">
        <v>45841.49510416666</v>
      </c>
      <c r="C602" s="1" t="n">
        <v>45925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24502-2024</t>
        </is>
      </c>
      <c r="B603" s="1" t="n">
        <v>45460.23820601852</v>
      </c>
      <c r="C603" s="1" t="n">
        <v>45925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33474-2025</t>
        </is>
      </c>
      <c r="B604" s="1" t="n">
        <v>45841.4927662037</v>
      </c>
      <c r="C604" s="1" t="n">
        <v>45925</v>
      </c>
      <c r="D604" t="inlineStr">
        <is>
          <t>JÖNKÖPINGS LÄN</t>
        </is>
      </c>
      <c r="E604" t="inlineStr">
        <is>
          <t>NÄSSJÖ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33397-2025</t>
        </is>
      </c>
      <c r="B605" s="1" t="n">
        <v>45841.42</v>
      </c>
      <c r="C605" s="1" t="n">
        <v>45925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33422-2025</t>
        </is>
      </c>
      <c r="B606" s="1" t="n">
        <v>45841.44262731481</v>
      </c>
      <c r="C606" s="1" t="n">
        <v>45925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33402-2025</t>
        </is>
      </c>
      <c r="B607" s="1" t="n">
        <v>45841.42442129629</v>
      </c>
      <c r="C607" s="1" t="n">
        <v>45925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33432-2025</t>
        </is>
      </c>
      <c r="B608" s="1" t="n">
        <v>45841.44844907407</v>
      </c>
      <c r="C608" s="1" t="n">
        <v>45925</v>
      </c>
      <c r="D608" t="inlineStr">
        <is>
          <t>JÖNKÖPINGS LÄN</t>
        </is>
      </c>
      <c r="E608" t="inlineStr">
        <is>
          <t>NÄSSJÖ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33409-2025</t>
        </is>
      </c>
      <c r="B609" s="1" t="n">
        <v>45841.43238425926</v>
      </c>
      <c r="C609" s="1" t="n">
        <v>45925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44566-2023</t>
        </is>
      </c>
      <c r="B610" s="1" t="n">
        <v>45189</v>
      </c>
      <c r="C610" s="1" t="n">
        <v>45925</v>
      </c>
      <c r="D610" t="inlineStr">
        <is>
          <t>JÖNKÖPINGS LÄN</t>
        </is>
      </c>
      <c r="E610" t="inlineStr">
        <is>
          <t>NÄSSJÖ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20498-2022</t>
        </is>
      </c>
      <c r="B611" s="1" t="n">
        <v>44699.73524305555</v>
      </c>
      <c r="C611" s="1" t="n">
        <v>45925</v>
      </c>
      <c r="D611" t="inlineStr">
        <is>
          <t>JÖNKÖPINGS LÄN</t>
        </is>
      </c>
      <c r="E611" t="inlineStr">
        <is>
          <t>NÄSSJÖ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33475-2025</t>
        </is>
      </c>
      <c r="B612" s="1" t="n">
        <v>45841.49357638889</v>
      </c>
      <c r="C612" s="1" t="n">
        <v>45925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33419-2025</t>
        </is>
      </c>
      <c r="B613" s="1" t="n">
        <v>45841.44113425926</v>
      </c>
      <c r="C613" s="1" t="n">
        <v>45925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33476-2025</t>
        </is>
      </c>
      <c r="B614" s="1" t="n">
        <v>45841.49430555556</v>
      </c>
      <c r="C614" s="1" t="n">
        <v>45925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33410-2025</t>
        </is>
      </c>
      <c r="B615" s="1" t="n">
        <v>45841.43451388889</v>
      </c>
      <c r="C615" s="1" t="n">
        <v>45925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33372-2025</t>
        </is>
      </c>
      <c r="B616" s="1" t="n">
        <v>45841.39407407407</v>
      </c>
      <c r="C616" s="1" t="n">
        <v>45925</v>
      </c>
      <c r="D616" t="inlineStr">
        <is>
          <t>JÖNKÖPINGS LÄN</t>
        </is>
      </c>
      <c r="E616" t="inlineStr">
        <is>
          <t>NÄSSJÖ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38801-2025</t>
        </is>
      </c>
      <c r="B617" s="1" t="n">
        <v>45887.46252314815</v>
      </c>
      <c r="C617" s="1" t="n">
        <v>45925</v>
      </c>
      <c r="D617" t="inlineStr">
        <is>
          <t>JÖNKÖPINGS LÄN</t>
        </is>
      </c>
      <c r="E617" t="inlineStr">
        <is>
          <t>NÄSSJÖ</t>
        </is>
      </c>
      <c r="G617" t="n">
        <v>12.4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HYPERLINK("https://klasma.github.io/Logging_0682/knärot/A 38801-2025 karta knärot.png", "A 38801-2025")</f>
        <v/>
      </c>
      <c r="V617">
        <f>HYPERLINK("https://klasma.github.io/Logging_0682/klagomål/A 38801-2025 FSC-klagomål.docx", "A 38801-2025")</f>
        <v/>
      </c>
      <c r="W617">
        <f>HYPERLINK("https://klasma.github.io/Logging_0682/klagomålsmail/A 38801-2025 FSC-klagomål mail.docx", "A 38801-2025")</f>
        <v/>
      </c>
      <c r="X617">
        <f>HYPERLINK("https://klasma.github.io/Logging_0682/tillsyn/A 38801-2025 tillsynsbegäran.docx", "A 38801-2025")</f>
        <v/>
      </c>
      <c r="Y617">
        <f>HYPERLINK("https://klasma.github.io/Logging_0682/tillsynsmail/A 38801-2025 tillsynsbegäran mail.docx", "A 38801-2025")</f>
        <v/>
      </c>
    </row>
    <row r="618" ht="15" customHeight="1">
      <c r="A618" t="inlineStr">
        <is>
          <t>A 33977-2025</t>
        </is>
      </c>
      <c r="B618" s="1" t="n">
        <v>45843.32826388889</v>
      </c>
      <c r="C618" s="1" t="n">
        <v>45925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33979-2025</t>
        </is>
      </c>
      <c r="B619" s="1" t="n">
        <v>45843.33149305556</v>
      </c>
      <c r="C619" s="1" t="n">
        <v>45925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5973-2025</t>
        </is>
      </c>
      <c r="B620" s="1" t="n">
        <v>45695.51128472222</v>
      </c>
      <c r="C620" s="1" t="n">
        <v>45925</v>
      </c>
      <c r="D620" t="inlineStr">
        <is>
          <t>JÖNKÖPINGS LÄN</t>
        </is>
      </c>
      <c r="E620" t="inlineStr">
        <is>
          <t>NÄSSJÖ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60463-2023</t>
        </is>
      </c>
      <c r="B621" s="1" t="n">
        <v>45259.57592592593</v>
      </c>
      <c r="C621" s="1" t="n">
        <v>45925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13781-2021</t>
        </is>
      </c>
      <c r="B622" s="1" t="n">
        <v>44274.85268518519</v>
      </c>
      <c r="C622" s="1" t="n">
        <v>45925</v>
      </c>
      <c r="D622" t="inlineStr">
        <is>
          <t>JÖNKÖPINGS LÄN</t>
        </is>
      </c>
      <c r="E622" t="inlineStr">
        <is>
          <t>NÄSSJÖ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39210-2025</t>
        </is>
      </c>
      <c r="B623" s="1" t="n">
        <v>45888.76744212963</v>
      </c>
      <c r="C623" s="1" t="n">
        <v>45925</v>
      </c>
      <c r="D623" t="inlineStr">
        <is>
          <t>JÖNKÖPINGS LÄN</t>
        </is>
      </c>
      <c r="E623" t="inlineStr">
        <is>
          <t>NÄSSJÖ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38792-2025</t>
        </is>
      </c>
      <c r="B624" s="1" t="n">
        <v>45887.44935185185</v>
      </c>
      <c r="C624" s="1" t="n">
        <v>45925</v>
      </c>
      <c r="D624" t="inlineStr">
        <is>
          <t>JÖNKÖPINGS LÄN</t>
        </is>
      </c>
      <c r="E624" t="inlineStr">
        <is>
          <t>NÄSSJÖ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40927-2023</t>
        </is>
      </c>
      <c r="B625" s="1" t="n">
        <v>45169</v>
      </c>
      <c r="C625" s="1" t="n">
        <v>45925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33978-2025</t>
        </is>
      </c>
      <c r="B626" s="1" t="n">
        <v>45843.32988425926</v>
      </c>
      <c r="C626" s="1" t="n">
        <v>45925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17942-2025</t>
        </is>
      </c>
      <c r="B627" s="1" t="n">
        <v>45760</v>
      </c>
      <c r="C627" s="1" t="n">
        <v>45925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1502-2024</t>
        </is>
      </c>
      <c r="B628" s="1" t="n">
        <v>45306</v>
      </c>
      <c r="C628" s="1" t="n">
        <v>45925</v>
      </c>
      <c r="D628" t="inlineStr">
        <is>
          <t>JÖNKÖPINGS LÄN</t>
        </is>
      </c>
      <c r="E628" t="inlineStr">
        <is>
          <t>NÄSSJÖ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2218-2024</t>
        </is>
      </c>
      <c r="B629" s="1" t="n">
        <v>45309</v>
      </c>
      <c r="C629" s="1" t="n">
        <v>45925</v>
      </c>
      <c r="D629" t="inlineStr">
        <is>
          <t>JÖNKÖPINGS LÄN</t>
        </is>
      </c>
      <c r="E629" t="inlineStr">
        <is>
          <t>NÄSSJÖ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12973-2025</t>
        </is>
      </c>
      <c r="B630" s="1" t="n">
        <v>45734.44627314815</v>
      </c>
      <c r="C630" s="1" t="n">
        <v>45925</v>
      </c>
      <c r="D630" t="inlineStr">
        <is>
          <t>JÖNKÖPINGS LÄN</t>
        </is>
      </c>
      <c r="E630" t="inlineStr">
        <is>
          <t>NÄSSJÖ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17816-2025</t>
        </is>
      </c>
      <c r="B631" s="1" t="n">
        <v>45758</v>
      </c>
      <c r="C631" s="1" t="n">
        <v>45925</v>
      </c>
      <c r="D631" t="inlineStr">
        <is>
          <t>JÖNKÖPINGS LÄN</t>
        </is>
      </c>
      <c r="E631" t="inlineStr">
        <is>
          <t>NÄSSJÖ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39326-2025</t>
        </is>
      </c>
      <c r="B632" s="1" t="n">
        <v>45889.48162037037</v>
      </c>
      <c r="C632" s="1" t="n">
        <v>45925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1228-2024</t>
        </is>
      </c>
      <c r="B633" s="1" t="n">
        <v>45302.68533564815</v>
      </c>
      <c r="C633" s="1" t="n">
        <v>45925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34679-2025</t>
        </is>
      </c>
      <c r="B634" s="1" t="n">
        <v>45848</v>
      </c>
      <c r="C634" s="1" t="n">
        <v>45925</v>
      </c>
      <c r="D634" t="inlineStr">
        <is>
          <t>JÖNKÖPINGS LÄN</t>
        </is>
      </c>
      <c r="E634" t="inlineStr">
        <is>
          <t>NÄSSJÖ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23385-2025</t>
        </is>
      </c>
      <c r="B635" s="1" t="n">
        <v>45791.82400462963</v>
      </c>
      <c r="C635" s="1" t="n">
        <v>45925</v>
      </c>
      <c r="D635" t="inlineStr">
        <is>
          <t>JÖNKÖPINGS LÄN</t>
        </is>
      </c>
      <c r="E635" t="inlineStr">
        <is>
          <t>NÄSSJÖ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39322-2025</t>
        </is>
      </c>
      <c r="B636" s="1" t="n">
        <v>45889.47633101852</v>
      </c>
      <c r="C636" s="1" t="n">
        <v>45925</v>
      </c>
      <c r="D636" t="inlineStr">
        <is>
          <t>JÖNKÖPINGS LÄN</t>
        </is>
      </c>
      <c r="E636" t="inlineStr">
        <is>
          <t>NÄSSJÖ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39323-2025</t>
        </is>
      </c>
      <c r="B637" s="1" t="n">
        <v>45889.47859953704</v>
      </c>
      <c r="C637" s="1" t="n">
        <v>45925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39684-2025</t>
        </is>
      </c>
      <c r="B638" s="1" t="n">
        <v>45890.66550925926</v>
      </c>
      <c r="C638" s="1" t="n">
        <v>45925</v>
      </c>
      <c r="D638" t="inlineStr">
        <is>
          <t>JÖNKÖPINGS LÄN</t>
        </is>
      </c>
      <c r="E638" t="inlineStr">
        <is>
          <t>NÄSSJÖ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15723-2025</t>
        </is>
      </c>
      <c r="B639" s="1" t="n">
        <v>45747</v>
      </c>
      <c r="C639" s="1" t="n">
        <v>45925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34456-2025</t>
        </is>
      </c>
      <c r="B640" s="1" t="n">
        <v>45847.32769675926</v>
      </c>
      <c r="C640" s="1" t="n">
        <v>45925</v>
      </c>
      <c r="D640" t="inlineStr">
        <is>
          <t>JÖNKÖPINGS LÄN</t>
        </is>
      </c>
      <c r="E640" t="inlineStr">
        <is>
          <t>NÄSSJÖ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11554-2021</t>
        </is>
      </c>
      <c r="B641" s="1" t="n">
        <v>44264</v>
      </c>
      <c r="C641" s="1" t="n">
        <v>45925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58236-2023</t>
        </is>
      </c>
      <c r="B642" s="1" t="n">
        <v>45245</v>
      </c>
      <c r="C642" s="1" t="n">
        <v>45925</v>
      </c>
      <c r="D642" t="inlineStr">
        <is>
          <t>JÖNKÖPINGS LÄN</t>
        </is>
      </c>
      <c r="E642" t="inlineStr">
        <is>
          <t>NÄSSJÖ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39467-2025</t>
        </is>
      </c>
      <c r="B643" s="1" t="n">
        <v>45890.29753472222</v>
      </c>
      <c r="C643" s="1" t="n">
        <v>45925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50072-2023</t>
        </is>
      </c>
      <c r="B644" s="1" t="n">
        <v>45215.55824074074</v>
      </c>
      <c r="C644" s="1" t="n">
        <v>45925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19792-2025</t>
        </is>
      </c>
      <c r="B645" s="1" t="n">
        <v>45771.44607638889</v>
      </c>
      <c r="C645" s="1" t="n">
        <v>45925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557-2024</t>
        </is>
      </c>
      <c r="B646" s="1" t="n">
        <v>45299</v>
      </c>
      <c r="C646" s="1" t="n">
        <v>45925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52669-2023</t>
        </is>
      </c>
      <c r="B647" s="1" t="n">
        <v>45219</v>
      </c>
      <c r="C647" s="1" t="n">
        <v>45925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3589-2024</t>
        </is>
      </c>
      <c r="B648" s="1" t="n">
        <v>45320.69017361111</v>
      </c>
      <c r="C648" s="1" t="n">
        <v>45925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3259-2024</t>
        </is>
      </c>
      <c r="B649" s="1" t="n">
        <v>45316</v>
      </c>
      <c r="C649" s="1" t="n">
        <v>45925</v>
      </c>
      <c r="D649" t="inlineStr">
        <is>
          <t>JÖNKÖPINGS LÄN</t>
        </is>
      </c>
      <c r="E649" t="inlineStr">
        <is>
          <t>NÄSSJÖ</t>
        </is>
      </c>
      <c r="F649" t="inlineStr">
        <is>
          <t>Kyrkan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9622-2024</t>
        </is>
      </c>
      <c r="B650" s="1" t="n">
        <v>45361.83712962963</v>
      </c>
      <c r="C650" s="1" t="n">
        <v>45925</v>
      </c>
      <c r="D650" t="inlineStr">
        <is>
          <t>JÖNKÖPINGS LÄN</t>
        </is>
      </c>
      <c r="E650" t="inlineStr">
        <is>
          <t>NÄSSJÖ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49878-2023</t>
        </is>
      </c>
      <c r="B651" s="1" t="n">
        <v>45213</v>
      </c>
      <c r="C651" s="1" t="n">
        <v>45925</v>
      </c>
      <c r="D651" t="inlineStr">
        <is>
          <t>JÖNKÖPINGS LÄN</t>
        </is>
      </c>
      <c r="E651" t="inlineStr">
        <is>
          <t>NÄSSJÖ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13096-2025</t>
        </is>
      </c>
      <c r="B652" s="1" t="n">
        <v>45734.65965277778</v>
      </c>
      <c r="C652" s="1" t="n">
        <v>45925</v>
      </c>
      <c r="D652" t="inlineStr">
        <is>
          <t>JÖNKÖPINGS LÄN</t>
        </is>
      </c>
      <c r="E652" t="inlineStr">
        <is>
          <t>NÄSSJÖ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49661-2023</t>
        </is>
      </c>
      <c r="B653" s="1" t="n">
        <v>45211.98679398148</v>
      </c>
      <c r="C653" s="1" t="n">
        <v>45925</v>
      </c>
      <c r="D653" t="inlineStr">
        <is>
          <t>JÖNKÖPINGS LÄN</t>
        </is>
      </c>
      <c r="E653" t="inlineStr">
        <is>
          <t>NÄSSJÖ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4574-2023</t>
        </is>
      </c>
      <c r="B654" s="1" t="n">
        <v>44956.70082175926</v>
      </c>
      <c r="C654" s="1" t="n">
        <v>45925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52605-2022</t>
        </is>
      </c>
      <c r="B655" s="1" t="n">
        <v>44874.65327546297</v>
      </c>
      <c r="C655" s="1" t="n">
        <v>45925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60433-2023</t>
        </is>
      </c>
      <c r="B656" s="1" t="n">
        <v>45259.51289351852</v>
      </c>
      <c r="C656" s="1" t="n">
        <v>45925</v>
      </c>
      <c r="D656" t="inlineStr">
        <is>
          <t>JÖNKÖPINGS LÄN</t>
        </is>
      </c>
      <c r="E656" t="inlineStr">
        <is>
          <t>NÄSSJÖ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14642-2025</t>
        </is>
      </c>
      <c r="B657" s="1" t="n">
        <v>45742</v>
      </c>
      <c r="C657" s="1" t="n">
        <v>45925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14116-2023</t>
        </is>
      </c>
      <c r="B658" s="1" t="n">
        <v>45009.42462962963</v>
      </c>
      <c r="C658" s="1" t="n">
        <v>45925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30752-2024</t>
        </is>
      </c>
      <c r="B659" s="1" t="n">
        <v>45496.69783564815</v>
      </c>
      <c r="C659" s="1" t="n">
        <v>45925</v>
      </c>
      <c r="D659" t="inlineStr">
        <is>
          <t>JÖNKÖPINGS LÄN</t>
        </is>
      </c>
      <c r="E659" t="inlineStr">
        <is>
          <t>NÄSSJÖ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61451-2023</t>
        </is>
      </c>
      <c r="B660" s="1" t="n">
        <v>45264.82974537037</v>
      </c>
      <c r="C660" s="1" t="n">
        <v>45925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31041-2023</t>
        </is>
      </c>
      <c r="B661" s="1" t="n">
        <v>45113.59415509259</v>
      </c>
      <c r="C661" s="1" t="n">
        <v>45925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14786-2025</t>
        </is>
      </c>
      <c r="B662" s="1" t="n">
        <v>45742.76657407408</v>
      </c>
      <c r="C662" s="1" t="n">
        <v>45925</v>
      </c>
      <c r="D662" t="inlineStr">
        <is>
          <t>JÖNKÖPINGS LÄN</t>
        </is>
      </c>
      <c r="E662" t="inlineStr">
        <is>
          <t>NÄSSJÖ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2025-09-25T10:37:10Z</dcterms:created>
  <dcterms:modified xmlns:dcterms="http://purl.org/dc/terms/" xmlns:xsi="http://www.w3.org/2001/XMLSchema-instance" xsi:type="dcterms:W3CDTF">2025-09-25T10:37:10Z</dcterms:modified>
</cp:coreProperties>
</file>