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46250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46250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32981-2024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45517</v>
      </c>
      <c r="E7" s="1" t="n">
        <v>46250</v>
      </c>
      <c r="F7" t="inlineStr">
        <is>
          <t>JÖNKÖPINGS LÄN</t>
        </is>
      </c>
      <c r="G7" t="inlineStr">
        <is>
          <t>NÄSSJÖ</t>
        </is>
      </c>
      <c r="H7" t="inlineStr">
        <is>
          <t>Kommuner</t>
        </is>
      </c>
      <c r="I7" t="n">
        <v>3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Slåttergubbe
Jungfrulin
Slåtterfibbla
Vårstarr</t>
        </is>
      </c>
      <c r="W7">
        <f>HYPERLINK("https://klasma.github.io/Logging_0682/artfynd/A 32981-2024 artfynd.xlsx", "A 32981-2024")</f>
        <v/>
      </c>
      <c r="X7">
        <f>HYPERLINK("https://klasma.github.io/Logging_0682/kartor/A 32981-2024 karta.png", "A 32981-2024")</f>
        <v/>
      </c>
      <c r="Y7">
        <f>HYPERLINK("https://klasma.github.io/Logging_0682/kartor_geotiff/A 32981-2024 georefererad karta.tif", "A 32981-2024")</f>
        <v/>
      </c>
      <c r="AA7">
        <f>HYPERLINK("https://klasma.github.io/Logging_0682/klagomål/A 32981-2024 FSC-klagomål.docx", "A 32981-2024")</f>
        <v/>
      </c>
      <c r="AB7">
        <f>HYPERLINK("https://klasma.github.io/Logging_0682/klagomålsmail/A 32981-2024 FSC-klagomål mail.docx", "A 32981-2024")</f>
        <v/>
      </c>
      <c r="AC7">
        <f>HYPERLINK("https://klasma.github.io/Logging_0682/tillsyn/A 32981-2024 tillsynsbegäran.docx", "A 32981-2024")</f>
        <v/>
      </c>
      <c r="AD7">
        <f>HYPERLINK("https://klasma.github.io/Logging_0682/tillsynsmail/A 32981-2024 tillsynsbegäran mail.docx", "A 32981-2024")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46250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46250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46250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46250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46250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46250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46250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46250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46250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46250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46250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46250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46250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46250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55860-2022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46250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19</v>
      </c>
      <c r="U27" t="n">
        <v>0</v>
      </c>
      <c r="V27" s="2" t="inlineStr">
        <is>
          <t>Knärot</t>
        </is>
      </c>
      <c r="W27">
        <f>HYPERLINK("https://klasma.github.io/Logging_0682/artfynd/A 55860-2022 artfynd.xlsx", "A 55860-2022")</f>
        <v/>
      </c>
      <c r="X27">
        <f>HYPERLINK("https://klasma.github.io/Logging_0682/kartor/A 55860-2022 karta.png", "A 55860-2022")</f>
        <v/>
      </c>
      <c r="Y27">
        <f>HYPERLINK("https://klasma.github.io/Logging_0682/kartor_geotiff/A 55860-2022 georefererad karta.tif", "A 55860-2022")</f>
        <v/>
      </c>
      <c r="Z27">
        <f>HYPERLINK("https://klasma.github.io/Logging_0682/knärot/A 55860-2022 karta knärot.png", "A 55860-2022")</f>
        <v/>
      </c>
      <c r="AA27">
        <f>HYPERLINK("https://klasma.github.io/Logging_0682/klagomål/A 55860-2022 FSC-klagomål.docx", "A 55860-2022")</f>
        <v/>
      </c>
      <c r="AB27">
        <f>HYPERLINK("https://klasma.github.io/Logging_0682/klagomålsmail/A 55860-2022 FSC-klagomål mail.docx", "A 55860-2022")</f>
        <v/>
      </c>
      <c r="AC27">
        <f>HYPERLINK("https://klasma.github.io/Logging_0682/tillsyn/A 55860-2022 tillsynsbegäran.docx", "A 55860-2022")</f>
        <v/>
      </c>
      <c r="AD27">
        <f>HYPERLINK("https://klasma.github.io/Logging_0682/tillsynsmail/A 55860-2022 tillsynsbegäran mail.docx", "A 55860-2022")</f>
        <v/>
      </c>
    </row>
    <row r="28" ht="15" customHeight="1">
      <c r="A28" t="inlineStr">
        <is>
          <t>A 50120-2025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45943</v>
      </c>
      <c r="E28" s="1" t="n">
        <v>46250</v>
      </c>
      <c r="F28" t="inlineStr">
        <is>
          <t>JÖNKÖPINGS LÄN</t>
        </is>
      </c>
      <c r="G28" t="inlineStr">
        <is>
          <t>NÄSSJÖ</t>
        </is>
      </c>
      <c r="I28" t="n">
        <v>0.9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HYPERLINK("https://klasma.github.io/Logging_0682/artfynd/A 50120-2025 artfynd.xlsx", "A 50120-2025")</f>
        <v/>
      </c>
      <c r="X28">
        <f>HYPERLINK("https://klasma.github.io/Logging_0682/kartor/A 50120-2025 karta.png", "A 50120-2025")</f>
        <v/>
      </c>
      <c r="Y28">
        <f>HYPERLINK("https://klasma.github.io/Logging_0682/kartor_geotiff/A 50120-2025 georefererad karta.tif", "A 50120-2025")</f>
        <v/>
      </c>
      <c r="AA28">
        <f>HYPERLINK("https://klasma.github.io/Logging_0682/klagomål/A 50120-2025 FSC-klagomål.docx", "A 50120-2025")</f>
        <v/>
      </c>
      <c r="AB28">
        <f>HYPERLINK("https://klasma.github.io/Logging_0682/klagomålsmail/A 50120-2025 FSC-klagomål mail.docx", "A 50120-2025")</f>
        <v/>
      </c>
      <c r="AC28">
        <f>HYPERLINK("https://klasma.github.io/Logging_0682/tillsyn/A 50120-2025 tillsynsbegäran.docx", "A 50120-2025")</f>
        <v/>
      </c>
      <c r="AD28">
        <f>HYPERLINK("https://klasma.github.io/Logging_0682/tillsynsmail/A 50120-2025 tillsynsbegäran mail.docx", "A 50120-2025")</f>
        <v/>
      </c>
    </row>
    <row r="29" ht="15" customHeight="1">
      <c r="A29" t="inlineStr">
        <is>
          <t>A 15048-2026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46250</v>
      </c>
      <c r="F29" t="inlineStr">
        <is>
          <t>JÖNKÖPINGS LÄN</t>
        </is>
      </c>
      <c r="G29" t="inlineStr">
        <is>
          <t>NÄSSJÖ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15048-2026 artfynd.xlsx", "A 15048-2026")</f>
        <v/>
      </c>
      <c r="X29">
        <f>HYPERLINK("https://klasma.github.io/Logging_0682/kartor/A 15048-2026 karta.png", "A 15048-2026")</f>
        <v/>
      </c>
      <c r="Y29">
        <f>HYPERLINK("https://klasma.github.io/Logging_0682/kartor_geotiff/A 15048-2026 georefererad karta.tif", "A 15048-2026")</f>
        <v/>
      </c>
      <c r="AA29">
        <f>HYPERLINK("https://klasma.github.io/Logging_0682/klagomål/A 15048-2026 FSC-klagomål.docx", "A 15048-2026")</f>
        <v/>
      </c>
      <c r="AB29">
        <f>HYPERLINK("https://klasma.github.io/Logging_0682/klagomålsmail/A 15048-2026 FSC-klagomål mail.docx", "A 15048-2026")</f>
        <v/>
      </c>
      <c r="AC29">
        <f>HYPERLINK("https://klasma.github.io/Logging_0682/tillsyn/A 15048-2026 tillsynsbegäran.docx", "A 15048-2026")</f>
        <v/>
      </c>
      <c r="AD29">
        <f>HYPERLINK("https://klasma.github.io/Logging_0682/tillsynsmail/A 15048-2026 tillsynsbegäran mail.docx", "A 15048-2026")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46250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15845-2026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46107</v>
      </c>
      <c r="E31" s="1" t="n">
        <v>46250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15845-2026 artfynd.xlsx", "A 15845-2026")</f>
        <v/>
      </c>
      <c r="X31">
        <f>HYPERLINK("https://klasma.github.io/Logging_0682/kartor/A 15845-2026 karta.png", "A 15845-2026")</f>
        <v/>
      </c>
      <c r="Y31">
        <f>HYPERLINK("https://klasma.github.io/Logging_0682/kartor_geotiff/A 15845-2026 georefererad karta.tif", "A 15845-2026")</f>
        <v/>
      </c>
      <c r="AA31">
        <f>HYPERLINK("https://klasma.github.io/Logging_0682/klagomål/A 15845-2026 FSC-klagomål.docx", "A 15845-2026")</f>
        <v/>
      </c>
      <c r="AB31">
        <f>HYPERLINK("https://klasma.github.io/Logging_0682/klagomålsmail/A 15845-2026 FSC-klagomål mail.docx", "A 15845-2026")</f>
        <v/>
      </c>
      <c r="AC31">
        <f>HYPERLINK("https://klasma.github.io/Logging_0682/tillsyn/A 15845-2026 tillsynsbegäran.docx", "A 15845-2026")</f>
        <v/>
      </c>
      <c r="AD31">
        <f>HYPERLINK("https://klasma.github.io/Logging_0682/tillsynsmail/A 15845-2026 tillsynsbegäran mail.docx", "A 15845-2026")</f>
        <v/>
      </c>
      <c r="AE31">
        <f>HYPERLINK("https://klasma.github.io/Logging_0682/fåglar/A 15845-2026 prioriterade fågelarter.docx", "A 15845-2026")</f>
        <v/>
      </c>
    </row>
    <row r="32" ht="15" customHeight="1">
      <c r="A32" t="inlineStr">
        <is>
          <t>A 18844-2026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46250</v>
      </c>
      <c r="F32" t="inlineStr">
        <is>
          <t>JÖNKÖPINGS LÄN</t>
        </is>
      </c>
      <c r="G32" t="inlineStr">
        <is>
          <t>NÄSSJÖ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HYPERLINK("https://klasma.github.io/Logging_0682/artfynd/A 18844-2026 artfynd.xlsx", "A 18844-2026")</f>
        <v/>
      </c>
      <c r="X32">
        <f>HYPERLINK("https://klasma.github.io/Logging_0682/kartor/A 18844-2026 karta.png", "A 18844-2026")</f>
        <v/>
      </c>
      <c r="Y32">
        <f>HYPERLINK("https://klasma.github.io/Logging_0682/kartor_geotiff/A 18844-2026 georefererad karta.tif", "A 18844-2026")</f>
        <v/>
      </c>
      <c r="AA32">
        <f>HYPERLINK("https://klasma.github.io/Logging_0682/klagomål/A 18844-2026 FSC-klagomål.docx", "A 18844-2026")</f>
        <v/>
      </c>
      <c r="AB32">
        <f>HYPERLINK("https://klasma.github.io/Logging_0682/klagomålsmail/A 18844-2026 FSC-klagomål mail.docx", "A 18844-2026")</f>
        <v/>
      </c>
      <c r="AC32">
        <f>HYPERLINK("https://klasma.github.io/Logging_0682/tillsyn/A 18844-2026 tillsynsbegäran.docx", "A 18844-2026")</f>
        <v/>
      </c>
      <c r="AD32">
        <f>HYPERLINK("https://klasma.github.io/Logging_0682/tillsynsmail/A 18844-2026 tillsynsbegäran mail.docx", "A 18844-2026")</f>
        <v/>
      </c>
    </row>
    <row r="33" ht="15" customHeight="1">
      <c r="A33" t="inlineStr">
        <is>
          <t>A 48462-2024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46250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Kornig nållav</t>
        </is>
      </c>
      <c r="W33">
        <f>HYPERLINK("https://klasma.github.io/Logging_0682/artfynd/A 48462-2024 artfynd.xlsx", "A 48462-2024")</f>
        <v/>
      </c>
      <c r="X33">
        <f>HYPERLINK("https://klasma.github.io/Logging_0682/kartor/A 48462-2024 karta.png", "A 48462-2024")</f>
        <v/>
      </c>
      <c r="Y33">
        <f>HYPERLINK("https://klasma.github.io/Logging_0682/kartor_geotiff/A 48462-2024 georefererad karta.tif", "A 48462-2024")</f>
        <v/>
      </c>
      <c r="AA33">
        <f>HYPERLINK("https://klasma.github.io/Logging_0682/klagomål/A 48462-2024 FSC-klagomål.docx", "A 48462-2024")</f>
        <v/>
      </c>
      <c r="AB33">
        <f>HYPERLINK("https://klasma.github.io/Logging_0682/klagomålsmail/A 48462-2024 FSC-klagomål mail.docx", "A 48462-2024")</f>
        <v/>
      </c>
      <c r="AC33">
        <f>HYPERLINK("https://klasma.github.io/Logging_0682/tillsyn/A 48462-2024 tillsynsbegäran.docx", "A 48462-2024")</f>
        <v/>
      </c>
      <c r="AD33">
        <f>HYPERLINK("https://klasma.github.io/Logging_0682/tillsynsmail/A 48462-2024 tillsynsbegäran mail.docx", "A 48462-2024")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46250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46250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46250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46250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46250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5108-2026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46250</v>
      </c>
      <c r="F39" t="inlineStr">
        <is>
          <t>JÖNKÖPINGS LÄN</t>
        </is>
      </c>
      <c r="G39" t="inlineStr">
        <is>
          <t>NÄSSJÖ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HYPERLINK("https://klasma.github.io/Logging_0682/artfynd/A 5108-2026 artfynd.xlsx", "A 5108-2026")</f>
        <v/>
      </c>
      <c r="X39">
        <f>HYPERLINK("https://klasma.github.io/Logging_0682/kartor/A 5108-2026 karta.png", "A 5108-2026")</f>
        <v/>
      </c>
      <c r="Y39">
        <f>HYPERLINK("https://klasma.github.io/Logging_0682/kartor_geotiff/A 5108-2026 georefererad karta.tif", "A 5108-2026")</f>
        <v/>
      </c>
      <c r="AA39">
        <f>HYPERLINK("https://klasma.github.io/Logging_0682/klagomål/A 5108-2026 FSC-klagomål.docx", "A 5108-2026")</f>
        <v/>
      </c>
      <c r="AB39">
        <f>HYPERLINK("https://klasma.github.io/Logging_0682/klagomålsmail/A 5108-2026 FSC-klagomål mail.docx", "A 5108-2026")</f>
        <v/>
      </c>
      <c r="AC39">
        <f>HYPERLINK("https://klasma.github.io/Logging_0682/tillsyn/A 5108-2026 tillsynsbegäran.docx", "A 5108-2026")</f>
        <v/>
      </c>
      <c r="AD39">
        <f>HYPERLINK("https://klasma.github.io/Logging_0682/tillsynsmail/A 5108-2026 tillsynsbegäran mail.docx", "A 5108-2026")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46250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46250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46250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46250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46250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46250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46250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46250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46250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46250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46250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46250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46250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46250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46250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46250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46250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46250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46250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46250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46250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46250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46250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46250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46250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46250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46250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46250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46250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46250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46250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46250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46250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46250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46250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46250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46250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46250</v>
      </c>
      <c r="F77" t="inlineStr">
        <is>
          <t>JÖNKÖPINGS LÄN</t>
        </is>
      </c>
      <c r="G77" t="inlineStr">
        <is>
          <t>NÄSSJÖ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8540-2022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44613</v>
      </c>
      <c r="E78" s="1" t="n">
        <v>46250</v>
      </c>
      <c r="F78" t="inlineStr">
        <is>
          <t>JÖNKÖPINGS LÄN</t>
        </is>
      </c>
      <c r="G78" t="inlineStr">
        <is>
          <t>NÄSSJÖ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46250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46250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71609-2021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44541</v>
      </c>
      <c r="E81" s="1" t="n">
        <v>46250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46250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46250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46250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46250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46250</v>
      </c>
      <c r="F86" t="inlineStr">
        <is>
          <t>JÖNKÖPINGS LÄN</t>
        </is>
      </c>
      <c r="G86" t="inlineStr">
        <is>
          <t>NÄSSJÖ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44460</v>
      </c>
      <c r="E87" s="1" t="n">
        <v>46250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44466</v>
      </c>
      <c r="E88" s="1" t="n">
        <v>46250</v>
      </c>
      <c r="F88" t="inlineStr">
        <is>
          <t>JÖNKÖPINGS LÄN</t>
        </is>
      </c>
      <c r="G88" t="inlineStr">
        <is>
          <t>NÄSSJÖ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46250</v>
      </c>
      <c r="F89" t="inlineStr">
        <is>
          <t>JÖNKÖPINGS LÄN</t>
        </is>
      </c>
      <c r="G89" t="inlineStr">
        <is>
          <t>NÄSSJÖ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46250</v>
      </c>
      <c r="F90" t="inlineStr">
        <is>
          <t>JÖNKÖPINGS LÄN</t>
        </is>
      </c>
      <c r="G90" t="inlineStr">
        <is>
          <t>NÄSSJÖ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46250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20945-2022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44701</v>
      </c>
      <c r="E92" s="1" t="n">
        <v>46250</v>
      </c>
      <c r="F92" t="inlineStr">
        <is>
          <t>JÖNKÖPINGS LÄN</t>
        </is>
      </c>
      <c r="G92" t="inlineStr">
        <is>
          <t>NÄSSJÖ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46250</v>
      </c>
      <c r="F93" t="inlineStr">
        <is>
          <t>JÖNKÖPINGS LÄN</t>
        </is>
      </c>
      <c r="G93" t="inlineStr">
        <is>
          <t>NÄSSJÖ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54825-2021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44474</v>
      </c>
      <c r="E94" s="1" t="n">
        <v>46250</v>
      </c>
      <c r="F94" t="inlineStr">
        <is>
          <t>JÖNKÖPINGS LÄN</t>
        </is>
      </c>
      <c r="G94" t="inlineStr">
        <is>
          <t>NÄSSJÖ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23549-2022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44721</v>
      </c>
      <c r="E95" s="1" t="n">
        <v>46250</v>
      </c>
      <c r="F95" t="inlineStr">
        <is>
          <t>JÖNKÖPINGS LÄN</t>
        </is>
      </c>
      <c r="G95" t="inlineStr">
        <is>
          <t>NÄSSJÖ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16314-2022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44670</v>
      </c>
      <c r="E96" s="1" t="n">
        <v>46250</v>
      </c>
      <c r="F96" t="inlineStr">
        <is>
          <t>JÖNKÖPINGS LÄN</t>
        </is>
      </c>
      <c r="G96" t="inlineStr">
        <is>
          <t>NÄSSJÖ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46250</v>
      </c>
      <c r="F97" t="inlineStr">
        <is>
          <t>JÖNKÖPINGS LÄN</t>
        </is>
      </c>
      <c r="G97" t="inlineStr">
        <is>
          <t>NÄSSJÖ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46250</v>
      </c>
      <c r="F98" t="inlineStr">
        <is>
          <t>JÖNKÖPINGS LÄN</t>
        </is>
      </c>
      <c r="G98" t="inlineStr">
        <is>
          <t>NÄSSJÖ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46250</v>
      </c>
      <c r="F99" t="inlineStr">
        <is>
          <t>JÖNKÖPINGS LÄN</t>
        </is>
      </c>
      <c r="G99" t="inlineStr">
        <is>
          <t>NÄSSJÖ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44776</v>
      </c>
      <c r="E100" s="1" t="n">
        <v>46250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46250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46250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46250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44360-2023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45188</v>
      </c>
      <c r="E104" s="1" t="n">
        <v>46250</v>
      </c>
      <c r="F104" t="inlineStr">
        <is>
          <t>JÖNKÖPINGS LÄN</t>
        </is>
      </c>
      <c r="G104" t="inlineStr">
        <is>
          <t>NÄSSJÖ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46250</v>
      </c>
      <c r="F105" t="inlineStr">
        <is>
          <t>JÖNKÖPINGS LÄN</t>
        </is>
      </c>
      <c r="G105" t="inlineStr">
        <is>
          <t>NÄSSJÖ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43239-2021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46250</v>
      </c>
      <c r="F106" t="inlineStr">
        <is>
          <t>JÖNKÖPINGS LÄN</t>
        </is>
      </c>
      <c r="G106" t="inlineStr">
        <is>
          <t>NÄSSJÖ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46250</v>
      </c>
      <c r="F107" t="inlineStr">
        <is>
          <t>JÖNKÖPINGS LÄN</t>
        </is>
      </c>
      <c r="G107" t="inlineStr">
        <is>
          <t>NÄSSJÖ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46250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46250</v>
      </c>
      <c r="F109" t="inlineStr">
        <is>
          <t>JÖNKÖPINGS LÄN</t>
        </is>
      </c>
      <c r="G109" t="inlineStr">
        <is>
          <t>NÄSSJÖ</t>
        </is>
      </c>
      <c r="H109" t="inlineStr">
        <is>
          <t>Kommuner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46250</v>
      </c>
      <c r="F110" t="inlineStr">
        <is>
          <t>JÖNKÖPINGS LÄN</t>
        </is>
      </c>
      <c r="G110" t="inlineStr">
        <is>
          <t>NÄSSJÖ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46250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46250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46250</v>
      </c>
      <c r="F113" t="inlineStr">
        <is>
          <t>JÖNKÖPINGS LÄN</t>
        </is>
      </c>
      <c r="G113" t="inlineStr">
        <is>
          <t>NÄSSJÖ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44887</v>
      </c>
      <c r="E114" s="1" t="n">
        <v>46250</v>
      </c>
      <c r="F114" t="inlineStr">
        <is>
          <t>JÖNKÖPINGS LÄN</t>
        </is>
      </c>
      <c r="G114" t="inlineStr">
        <is>
          <t>NÄSSJÖ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46250</v>
      </c>
      <c r="F115" t="inlineStr">
        <is>
          <t>JÖNKÖPINGS LÄN</t>
        </is>
      </c>
      <c r="G115" t="inlineStr">
        <is>
          <t>NÄSSJÖ</t>
        </is>
      </c>
      <c r="I115" t="n">
        <v>11.8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46250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44699</v>
      </c>
      <c r="E117" s="1" t="n">
        <v>46250</v>
      </c>
      <c r="F117" t="inlineStr">
        <is>
          <t>JÖNKÖPINGS LÄN</t>
        </is>
      </c>
      <c r="G117" t="inlineStr">
        <is>
          <t>NÄSSJÖ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45394</v>
      </c>
      <c r="E118" s="1" t="n">
        <v>46250</v>
      </c>
      <c r="F118" t="inlineStr">
        <is>
          <t>JÖNKÖPINGS LÄN</t>
        </is>
      </c>
      <c r="G118" t="inlineStr">
        <is>
          <t>NÄSSJÖ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46250</v>
      </c>
      <c r="F119" t="inlineStr">
        <is>
          <t>JÖNKÖPINGS LÄN</t>
        </is>
      </c>
      <c r="G119" t="inlineStr">
        <is>
          <t>NÄSSJÖ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46250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46250</v>
      </c>
      <c r="F121" t="inlineStr">
        <is>
          <t>JÖNKÖPINGS LÄN</t>
        </is>
      </c>
      <c r="G121" t="inlineStr">
        <is>
          <t>NÄSSJÖ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46250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46250</v>
      </c>
      <c r="F123" t="inlineStr">
        <is>
          <t>JÖNKÖPINGS LÄN</t>
        </is>
      </c>
      <c r="G123" t="inlineStr">
        <is>
          <t>NÄSSJÖ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14037-2022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44650</v>
      </c>
      <c r="E124" s="1" t="n">
        <v>46250</v>
      </c>
      <c r="F124" t="inlineStr">
        <is>
          <t>JÖNKÖPINGS LÄN</t>
        </is>
      </c>
      <c r="G124" t="inlineStr">
        <is>
          <t>NÄSSJÖ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46250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44568</v>
      </c>
      <c r="E126" s="1" t="n">
        <v>46250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45760</v>
      </c>
      <c r="E127" s="1" t="n">
        <v>46250</v>
      </c>
      <c r="F127" t="inlineStr">
        <is>
          <t>JÖNKÖPINGS LÄN</t>
        </is>
      </c>
      <c r="G127" t="inlineStr">
        <is>
          <t>NÄSSJÖ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46250</v>
      </c>
      <c r="F128" t="inlineStr">
        <is>
          <t>JÖNKÖPINGS LÄN</t>
        </is>
      </c>
      <c r="G128" t="inlineStr">
        <is>
          <t>NÄSSJÖ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46250</v>
      </c>
      <c r="F129" t="inlineStr">
        <is>
          <t>JÖNKÖPINGS LÄN</t>
        </is>
      </c>
      <c r="G129" t="inlineStr">
        <is>
          <t>NÄSSJÖ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45880</v>
      </c>
      <c r="E130" s="1" t="n">
        <v>46250</v>
      </c>
      <c r="F130" t="inlineStr">
        <is>
          <t>JÖNKÖPINGS LÄN</t>
        </is>
      </c>
      <c r="G130" t="inlineStr">
        <is>
          <t>NÄSSJÖ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45880</v>
      </c>
      <c r="E131" s="1" t="n">
        <v>46250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45880</v>
      </c>
      <c r="E132" s="1" t="n">
        <v>46250</v>
      </c>
      <c r="F132" t="inlineStr">
        <is>
          <t>JÖNKÖPINGS LÄN</t>
        </is>
      </c>
      <c r="G132" t="inlineStr">
        <is>
          <t>NÄSSJÖ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46250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46250</v>
      </c>
      <c r="F134" t="inlineStr">
        <is>
          <t>JÖNKÖPINGS LÄN</t>
        </is>
      </c>
      <c r="G134" t="inlineStr">
        <is>
          <t>NÄSSJÖ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46250</v>
      </c>
      <c r="F135" t="inlineStr">
        <is>
          <t>JÖNKÖPINGS LÄN</t>
        </is>
      </c>
      <c r="G135" t="inlineStr">
        <is>
          <t>NÄSSJÖ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46250</v>
      </c>
      <c r="F136" t="inlineStr">
        <is>
          <t>JÖNKÖPINGS LÄN</t>
        </is>
      </c>
      <c r="G136" t="inlineStr">
        <is>
          <t>NÄSSJÖ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46250</v>
      </c>
      <c r="F137" t="inlineStr">
        <is>
          <t>JÖNKÖPINGS LÄN</t>
        </is>
      </c>
      <c r="G137" t="inlineStr">
        <is>
          <t>NÄSSJÖ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46250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46250</v>
      </c>
      <c r="F139" t="inlineStr">
        <is>
          <t>JÖNKÖPINGS LÄN</t>
        </is>
      </c>
      <c r="G139" t="inlineStr">
        <is>
          <t>NÄSSJÖ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46250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47438-2021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44447</v>
      </c>
      <c r="E141" s="1" t="n">
        <v>46250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46250</v>
      </c>
      <c r="F142" t="inlineStr">
        <is>
          <t>JÖNKÖPINGS LÄN</t>
        </is>
      </c>
      <c r="G142" t="inlineStr">
        <is>
          <t>NÄSSJÖ</t>
        </is>
      </c>
      <c r="H142" t="inlineStr">
        <is>
          <t>Kommuner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32982-2024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45517</v>
      </c>
      <c r="E143" s="1" t="n">
        <v>46250</v>
      </c>
      <c r="F143" t="inlineStr">
        <is>
          <t>JÖNKÖPINGS LÄN</t>
        </is>
      </c>
      <c r="G143" t="inlineStr">
        <is>
          <t>NÄSSJÖ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46250</v>
      </c>
      <c r="F144" t="inlineStr">
        <is>
          <t>JÖNKÖPINGS LÄN</t>
        </is>
      </c>
      <c r="G144" t="inlineStr">
        <is>
          <t>NÄSSJÖ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46250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46250</v>
      </c>
      <c r="F146" t="inlineStr">
        <is>
          <t>JÖNKÖPINGS LÄN</t>
        </is>
      </c>
      <c r="G146" t="inlineStr">
        <is>
          <t>NÄSSJÖ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46250</v>
      </c>
      <c r="F147" t="inlineStr">
        <is>
          <t>JÖNKÖPINGS LÄN</t>
        </is>
      </c>
      <c r="G147" t="inlineStr">
        <is>
          <t>NÄSSJÖ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46250</v>
      </c>
      <c r="F148" t="inlineStr">
        <is>
          <t>JÖNKÖPINGS LÄN</t>
        </is>
      </c>
      <c r="G148" t="inlineStr">
        <is>
          <t>NÄSSJÖ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46250</v>
      </c>
      <c r="F149" t="inlineStr">
        <is>
          <t>JÖNKÖPINGS LÄN</t>
        </is>
      </c>
      <c r="G149" t="inlineStr">
        <is>
          <t>NÄSSJÖ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10436-2025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45720</v>
      </c>
      <c r="E150" s="1" t="n">
        <v>46250</v>
      </c>
      <c r="F150" t="inlineStr">
        <is>
          <t>JÖNKÖPINGS LÄN</t>
        </is>
      </c>
      <c r="G150" t="inlineStr">
        <is>
          <t>NÄSSJÖ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46250</v>
      </c>
      <c r="F151" t="inlineStr">
        <is>
          <t>JÖNKÖPINGS LÄN</t>
        </is>
      </c>
      <c r="G151" t="inlineStr">
        <is>
          <t>NÄSSJÖ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46250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46250</v>
      </c>
      <c r="F153" t="inlineStr">
        <is>
          <t>JÖNKÖPINGS LÄN</t>
        </is>
      </c>
      <c r="G153" t="inlineStr">
        <is>
          <t>NÄSSJÖ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46250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46250</v>
      </c>
      <c r="F155" t="inlineStr">
        <is>
          <t>JÖNKÖPINGS LÄN</t>
        </is>
      </c>
      <c r="G155" t="inlineStr">
        <is>
          <t>NÄSSJÖ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44442</v>
      </c>
      <c r="E156" s="1" t="n">
        <v>46250</v>
      </c>
      <c r="F156" t="inlineStr">
        <is>
          <t>JÖNKÖPINGS LÄN</t>
        </is>
      </c>
      <c r="G156" t="inlineStr">
        <is>
          <t>NÄSSJÖ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46250</v>
      </c>
      <c r="F157" t="inlineStr">
        <is>
          <t>JÖNKÖPINGS LÄN</t>
        </is>
      </c>
      <c r="G157" t="inlineStr">
        <is>
          <t>NÄSSJÖ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46250</v>
      </c>
      <c r="F158" t="inlineStr">
        <is>
          <t>JÖNKÖPINGS LÄN</t>
        </is>
      </c>
      <c r="G158" t="inlineStr">
        <is>
          <t>NÄSSJÖ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46250</v>
      </c>
      <c r="F159" t="inlineStr">
        <is>
          <t>JÖNKÖPINGS LÄN</t>
        </is>
      </c>
      <c r="G159" t="inlineStr">
        <is>
          <t>NÄSSJÖ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46250</v>
      </c>
      <c r="F160" t="inlineStr">
        <is>
          <t>JÖNKÖPINGS LÄN</t>
        </is>
      </c>
      <c r="G160" t="inlineStr">
        <is>
          <t>NÄSSJÖ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46250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46250</v>
      </c>
      <c r="F162" t="inlineStr">
        <is>
          <t>JÖNKÖPINGS LÄN</t>
        </is>
      </c>
      <c r="G162" t="inlineStr">
        <is>
          <t>NÄSSJÖ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46250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46250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46250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63087-2023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46250</v>
      </c>
      <c r="F166" t="inlineStr">
        <is>
          <t>JÖNKÖPINGS LÄN</t>
        </is>
      </c>
      <c r="G166" t="inlineStr">
        <is>
          <t>NÄSSJÖ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46250</v>
      </c>
      <c r="F167" t="inlineStr">
        <is>
          <t>JÖNKÖPINGS LÄN</t>
        </is>
      </c>
      <c r="G167" t="inlineStr">
        <is>
          <t>NÄSSJÖ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45890</v>
      </c>
      <c r="E168" s="1" t="n">
        <v>46250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46250</v>
      </c>
      <c r="F169" t="inlineStr">
        <is>
          <t>JÖNKÖPINGS LÄN</t>
        </is>
      </c>
      <c r="G169" t="inlineStr">
        <is>
          <t>NÄSSJÖ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46250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45892</v>
      </c>
      <c r="E171" s="1" t="n">
        <v>46250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46250</v>
      </c>
      <c r="F172" t="inlineStr">
        <is>
          <t>JÖNKÖPINGS LÄN</t>
        </is>
      </c>
      <c r="G172" t="inlineStr">
        <is>
          <t>NÄSSJÖ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46250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46250</v>
      </c>
      <c r="F174" t="inlineStr">
        <is>
          <t>JÖNKÖPINGS LÄN</t>
        </is>
      </c>
      <c r="G174" t="inlineStr">
        <is>
          <t>NÄSSJÖ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46250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46250</v>
      </c>
      <c r="F176" t="inlineStr">
        <is>
          <t>JÖNKÖPINGS LÄN</t>
        </is>
      </c>
      <c r="G176" t="inlineStr">
        <is>
          <t>NÄSSJÖ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46250</v>
      </c>
      <c r="F177" t="inlineStr">
        <is>
          <t>JÖNKÖPINGS LÄN</t>
        </is>
      </c>
      <c r="G177" t="inlineStr">
        <is>
          <t>NÄSSJÖ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46250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46250</v>
      </c>
      <c r="F179" t="inlineStr">
        <is>
          <t>JÖNKÖPINGS LÄN</t>
        </is>
      </c>
      <c r="G179" t="inlineStr">
        <is>
          <t>NÄSSJÖ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46250</v>
      </c>
      <c r="F180" t="inlineStr">
        <is>
          <t>JÖNKÖPINGS LÄN</t>
        </is>
      </c>
      <c r="G180" t="inlineStr">
        <is>
          <t>NÄSSJÖ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46250</v>
      </c>
      <c r="F181" t="inlineStr">
        <is>
          <t>JÖNKÖPINGS LÄN</t>
        </is>
      </c>
      <c r="G181" t="inlineStr">
        <is>
          <t>NÄSSJÖ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45907</v>
      </c>
      <c r="E182" s="1" t="n">
        <v>46250</v>
      </c>
      <c r="F182" t="inlineStr">
        <is>
          <t>JÖNKÖPINGS LÄN</t>
        </is>
      </c>
      <c r="G182" t="inlineStr">
        <is>
          <t>NÄSSJÖ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45907</v>
      </c>
      <c r="E183" s="1" t="n">
        <v>46250</v>
      </c>
      <c r="F183" t="inlineStr">
        <is>
          <t>JÖNKÖPINGS LÄN</t>
        </is>
      </c>
      <c r="G183" t="inlineStr">
        <is>
          <t>NÄSSJÖ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46250</v>
      </c>
      <c r="F184" t="inlineStr">
        <is>
          <t>JÖNKÖPINGS LÄN</t>
        </is>
      </c>
      <c r="G184" t="inlineStr">
        <is>
          <t>NÄSSJÖ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46250</v>
      </c>
      <c r="F185" t="inlineStr">
        <is>
          <t>JÖNKÖPINGS LÄN</t>
        </is>
      </c>
      <c r="G185" t="inlineStr">
        <is>
          <t>NÄSSJÖ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46250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54303-2021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44472</v>
      </c>
      <c r="E187" s="1" t="n">
        <v>46250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46250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45404</v>
      </c>
      <c r="E189" s="1" t="n">
        <v>46250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46250</v>
      </c>
      <c r="F190" t="inlineStr">
        <is>
          <t>JÖNKÖPINGS LÄN</t>
        </is>
      </c>
      <c r="G190" t="inlineStr">
        <is>
          <t>NÄSSJÖ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46250</v>
      </c>
      <c r="F191" t="inlineStr">
        <is>
          <t>JÖNKÖPINGS LÄN</t>
        </is>
      </c>
      <c r="G191" t="inlineStr">
        <is>
          <t>NÄSSJÖ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45917</v>
      </c>
      <c r="E192" s="1" t="n">
        <v>46250</v>
      </c>
      <c r="F192" t="inlineStr">
        <is>
          <t>JÖNKÖPINGS LÄN</t>
        </is>
      </c>
      <c r="G192" t="inlineStr">
        <is>
          <t>NÄSSJÖ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46250</v>
      </c>
      <c r="F193" t="inlineStr">
        <is>
          <t>JÖNKÖPINGS LÄN</t>
        </is>
      </c>
      <c r="G193" t="inlineStr">
        <is>
          <t>NÄSSJÖ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46250</v>
      </c>
      <c r="F194" t="inlineStr">
        <is>
          <t>JÖNKÖPINGS LÄN</t>
        </is>
      </c>
      <c r="G194" t="inlineStr">
        <is>
          <t>NÄSSJÖ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46250</v>
      </c>
      <c r="F195" t="inlineStr">
        <is>
          <t>JÖNKÖPINGS LÄN</t>
        </is>
      </c>
      <c r="G195" t="inlineStr">
        <is>
          <t>NÄSSJÖ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46250</v>
      </c>
      <c r="F196" t="inlineStr">
        <is>
          <t>JÖNKÖPINGS LÄN</t>
        </is>
      </c>
      <c r="G196" t="inlineStr">
        <is>
          <t>NÄSSJÖ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45361</v>
      </c>
      <c r="E197" s="1" t="n">
        <v>46250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46250</v>
      </c>
      <c r="F198" t="inlineStr">
        <is>
          <t>JÖNKÖPINGS LÄN</t>
        </is>
      </c>
      <c r="G198" t="inlineStr">
        <is>
          <t>NÄSSJÖ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46250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45213</v>
      </c>
      <c r="E200" s="1" t="n">
        <v>46250</v>
      </c>
      <c r="F200" t="inlineStr">
        <is>
          <t>JÖNKÖPINGS LÄN</t>
        </is>
      </c>
      <c r="G200" t="inlineStr">
        <is>
          <t>NÄSSJÖ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46250</v>
      </c>
      <c r="F201" t="inlineStr">
        <is>
          <t>JÖNKÖPINGS LÄN</t>
        </is>
      </c>
      <c r="G201" t="inlineStr">
        <is>
          <t>NÄSSJÖ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12652-2026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46091</v>
      </c>
      <c r="E202" s="1" t="n">
        <v>46250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46250</v>
      </c>
      <c r="F203" t="inlineStr">
        <is>
          <t>JÖNKÖPINGS LÄN</t>
        </is>
      </c>
      <c r="G203" t="inlineStr">
        <is>
          <t>NÄSSJÖ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46250</v>
      </c>
      <c r="F204" t="inlineStr">
        <is>
          <t>JÖNKÖPINGS LÄN</t>
        </is>
      </c>
      <c r="G204" t="inlineStr">
        <is>
          <t>NÄSSJÖ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46250</v>
      </c>
      <c r="F205" t="inlineStr">
        <is>
          <t>JÖNKÖPINGS LÄN</t>
        </is>
      </c>
      <c r="G205" t="inlineStr">
        <is>
          <t>NÄSSJÖ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46250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50219-2025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45943</v>
      </c>
      <c r="E207" s="1" t="n">
        <v>46250</v>
      </c>
      <c r="F207" t="inlineStr">
        <is>
          <t>JÖNKÖPINGS LÄN</t>
        </is>
      </c>
      <c r="G207" t="inlineStr">
        <is>
          <t>NÄSSJÖ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46250</v>
      </c>
      <c r="F208" t="inlineStr">
        <is>
          <t>JÖNKÖPINGS LÄN</t>
        </is>
      </c>
      <c r="G208" t="inlineStr">
        <is>
          <t>NÄSSJÖ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46250</v>
      </c>
      <c r="F209" t="inlineStr">
        <is>
          <t>JÖNKÖPINGS LÄN</t>
        </is>
      </c>
      <c r="G209" t="inlineStr">
        <is>
          <t>NÄSSJÖ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46250</v>
      </c>
      <c r="F210" t="inlineStr">
        <is>
          <t>JÖNKÖPINGS LÄN</t>
        </is>
      </c>
      <c r="G210" t="inlineStr">
        <is>
          <t>NÄSSJÖ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46250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46250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46250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45942</v>
      </c>
      <c r="E214" s="1" t="n">
        <v>46250</v>
      </c>
      <c r="F214" t="inlineStr">
        <is>
          <t>JÖNKÖPINGS LÄN</t>
        </is>
      </c>
      <c r="G214" t="inlineStr">
        <is>
          <t>NÄSSJÖ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46250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46250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46250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46250</v>
      </c>
      <c r="F218" t="inlineStr">
        <is>
          <t>JÖNKÖPINGS LÄN</t>
        </is>
      </c>
      <c r="G218" t="inlineStr">
        <is>
          <t>NÄSSJÖ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50439-2025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45944</v>
      </c>
      <c r="E219" s="1" t="n">
        <v>46250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46250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46250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45031</v>
      </c>
      <c r="E222" s="1" t="n">
        <v>46250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46250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46250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46250</v>
      </c>
      <c r="F225" t="inlineStr">
        <is>
          <t>JÖNKÖPINGS LÄN</t>
        </is>
      </c>
      <c r="G225" t="inlineStr">
        <is>
          <t>NÄSSJÖ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46250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46250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46250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46250</v>
      </c>
      <c r="F229" t="inlineStr">
        <is>
          <t>JÖNKÖPINGS LÄN</t>
        </is>
      </c>
      <c r="G229" t="inlineStr">
        <is>
          <t>NÄSSJÖ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46250</v>
      </c>
      <c r="F230" t="inlineStr">
        <is>
          <t>JÖNKÖPINGS LÄN</t>
        </is>
      </c>
      <c r="G230" t="inlineStr">
        <is>
          <t>NÄSSJÖ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46250</v>
      </c>
      <c r="F231" t="inlineStr">
        <is>
          <t>JÖNKÖPINGS LÄN</t>
        </is>
      </c>
      <c r="G231" t="inlineStr">
        <is>
          <t>NÄSSJÖ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46250</v>
      </c>
      <c r="F232" t="inlineStr">
        <is>
          <t>JÖNKÖPINGS LÄN</t>
        </is>
      </c>
      <c r="G232" t="inlineStr">
        <is>
          <t>NÄSSJÖ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46250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46250</v>
      </c>
      <c r="F234" t="inlineStr">
        <is>
          <t>JÖNKÖPINGS LÄN</t>
        </is>
      </c>
      <c r="G234" t="inlineStr">
        <is>
          <t>NÄSSJÖ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46250</v>
      </c>
      <c r="F235" t="inlineStr">
        <is>
          <t>JÖNKÖPINGS LÄN</t>
        </is>
      </c>
      <c r="G235" t="inlineStr">
        <is>
          <t>NÄSSJÖ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46250</v>
      </c>
      <c r="F236" t="inlineStr">
        <is>
          <t>JÖNKÖPINGS LÄN</t>
        </is>
      </c>
      <c r="G236" t="inlineStr">
        <is>
          <t>NÄSSJÖ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46250</v>
      </c>
      <c r="F237" t="inlineStr">
        <is>
          <t>JÖNKÖPINGS LÄN</t>
        </is>
      </c>
      <c r="G237" t="inlineStr">
        <is>
          <t>NÄSSJÖ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46250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44617</v>
      </c>
      <c r="E239" s="1" t="n">
        <v>46250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46250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46250</v>
      </c>
      <c r="F241" t="inlineStr">
        <is>
          <t>JÖNKÖPINGS LÄN</t>
        </is>
      </c>
      <c r="G241" t="inlineStr">
        <is>
          <t>NÄSSJÖ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45213</v>
      </c>
      <c r="E242" s="1" t="n">
        <v>46250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46250</v>
      </c>
      <c r="F243" t="inlineStr">
        <is>
          <t>JÖNKÖPINGS LÄN</t>
        </is>
      </c>
      <c r="G243" t="inlineStr">
        <is>
          <t>NÄSSJÖ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46250</v>
      </c>
      <c r="F244" t="inlineStr">
        <is>
          <t>JÖNKÖPINGS LÄN</t>
        </is>
      </c>
      <c r="G244" t="inlineStr">
        <is>
          <t>NÄSSJÖ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45760</v>
      </c>
      <c r="E245" s="1" t="n">
        <v>46250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46250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46250</v>
      </c>
      <c r="F247" t="inlineStr">
        <is>
          <t>JÖNKÖPINGS LÄN</t>
        </is>
      </c>
      <c r="G247" t="inlineStr">
        <is>
          <t>NÄSSJÖ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46250</v>
      </c>
      <c r="F248" t="inlineStr">
        <is>
          <t>JÖNKÖPINGS LÄN</t>
        </is>
      </c>
      <c r="G248" t="inlineStr">
        <is>
          <t>NÄSSJÖ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46250</v>
      </c>
      <c r="F249" t="inlineStr">
        <is>
          <t>JÖNKÖPINGS LÄN</t>
        </is>
      </c>
      <c r="G249" t="inlineStr">
        <is>
          <t>NÄSSJÖ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46250</v>
      </c>
      <c r="F250" t="inlineStr">
        <is>
          <t>JÖNKÖPINGS LÄN</t>
        </is>
      </c>
      <c r="G250" t="inlineStr">
        <is>
          <t>NÄSSJÖ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46250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46250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45693</v>
      </c>
      <c r="E253" s="1" t="n">
        <v>46250</v>
      </c>
      <c r="F253" t="inlineStr">
        <is>
          <t>JÖNKÖPINGS LÄN</t>
        </is>
      </c>
      <c r="G253" t="inlineStr">
        <is>
          <t>NÄSSJÖ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46250</v>
      </c>
      <c r="F254" t="inlineStr">
        <is>
          <t>JÖNKÖPINGS LÄN</t>
        </is>
      </c>
      <c r="G254" t="inlineStr">
        <is>
          <t>NÄSSJÖ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50718-2021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44460</v>
      </c>
      <c r="E255" s="1" t="n">
        <v>46250</v>
      </c>
      <c r="F255" t="inlineStr">
        <is>
          <t>JÖNKÖPINGS LÄN</t>
        </is>
      </c>
      <c r="G255" t="inlineStr">
        <is>
          <t>NÄSSJÖ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46250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46250</v>
      </c>
      <c r="F257" t="inlineStr">
        <is>
          <t>JÖNKÖPINGS LÄN</t>
        </is>
      </c>
      <c r="G257" t="inlineStr">
        <is>
          <t>NÄSSJÖ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46250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46250</v>
      </c>
      <c r="F259" t="inlineStr">
        <is>
          <t>JÖNKÖPINGS LÄN</t>
        </is>
      </c>
      <c r="G259" t="inlineStr">
        <is>
          <t>NÄSSJÖ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46250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46250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46250</v>
      </c>
      <c r="F262" t="inlineStr">
        <is>
          <t>JÖNKÖPINGS LÄN</t>
        </is>
      </c>
      <c r="G262" t="inlineStr">
        <is>
          <t>NÄSSJÖ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46250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49389-2021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46250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46250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  <c r="Z265">
        <f>HYPERLINK("https://klasma.github.io/Logging_0682/knärot/A 56586-2025 karta knärot.png", "A 56586-2025")</f>
        <v/>
      </c>
      <c r="AA265">
        <f>HYPERLINK("https://klasma.github.io/Logging_0682/klagomål/A 56586-2025 FSC-klagomål.docx", "A 56586-2025")</f>
        <v/>
      </c>
      <c r="AB265">
        <f>HYPERLINK("https://klasma.github.io/Logging_0682/klagomålsmail/A 56586-2025 FSC-klagomål mail.docx", "A 56586-2025")</f>
        <v/>
      </c>
      <c r="AC265">
        <f>HYPERLINK("https://klasma.github.io/Logging_0682/tillsyn/A 56586-2025 tillsynsbegäran.docx", "A 56586-2025")</f>
        <v/>
      </c>
      <c r="AD265">
        <f>HYPERLINK("https://klasma.github.io/Logging_0682/tillsynsmail/A 56586-2025 tillsynsbegäran mail.docx", "A 56586-2025")</f>
        <v/>
      </c>
    </row>
    <row r="266" ht="15" customHeight="1">
      <c r="A266" t="inlineStr">
        <is>
          <t>A 57550-2025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46250</v>
      </c>
      <c r="F266" t="inlineStr">
        <is>
          <t>JÖNKÖPINGS LÄN</t>
        </is>
      </c>
      <c r="G266" t="inlineStr">
        <is>
          <t>NÄSSJÖ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46250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46250</v>
      </c>
      <c r="F268" t="inlineStr">
        <is>
          <t>JÖNKÖPINGS LÄN</t>
        </is>
      </c>
      <c r="G268" t="inlineStr">
        <is>
          <t>NÄSSJÖ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46250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46250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46250</v>
      </c>
      <c r="F271" t="inlineStr">
        <is>
          <t>JÖNKÖPINGS LÄN</t>
        </is>
      </c>
      <c r="G271" t="inlineStr">
        <is>
          <t>NÄSSJÖ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46250</v>
      </c>
      <c r="F272" t="inlineStr">
        <is>
          <t>JÖNKÖPINGS LÄN</t>
        </is>
      </c>
      <c r="G272" t="inlineStr">
        <is>
          <t>NÄSSJÖ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46250</v>
      </c>
      <c r="F273" t="inlineStr">
        <is>
          <t>JÖNKÖPINGS LÄN</t>
        </is>
      </c>
      <c r="G273" t="inlineStr">
        <is>
          <t>NÄSSJÖ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44603</v>
      </c>
      <c r="E274" s="1" t="n">
        <v>46250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45041</v>
      </c>
      <c r="E275" s="1" t="n">
        <v>46250</v>
      </c>
      <c r="F275" t="inlineStr">
        <is>
          <t>JÖNKÖPINGS LÄN</t>
        </is>
      </c>
      <c r="G275" t="inlineStr">
        <is>
          <t>NÄSSJÖ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46250</v>
      </c>
      <c r="F276" t="inlineStr">
        <is>
          <t>JÖNKÖPINGS LÄN</t>
        </is>
      </c>
      <c r="G276" t="inlineStr">
        <is>
          <t>NÄSSJÖ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46250</v>
      </c>
      <c r="F277" t="inlineStr">
        <is>
          <t>JÖNKÖPINGS LÄN</t>
        </is>
      </c>
      <c r="G277" t="inlineStr">
        <is>
          <t>NÄSSJÖ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46250</v>
      </c>
      <c r="F278" t="inlineStr">
        <is>
          <t>JÖNKÖPINGS LÄN</t>
        </is>
      </c>
      <c r="G278" t="inlineStr">
        <is>
          <t>NÄSSJÖ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46250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71606-2021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44541</v>
      </c>
      <c r="E280" s="1" t="n">
        <v>46250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46250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46250</v>
      </c>
      <c r="F282" t="inlineStr">
        <is>
          <t>JÖNKÖPINGS LÄN</t>
        </is>
      </c>
      <c r="G282" t="inlineStr">
        <is>
          <t>NÄSSJÖ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45402</v>
      </c>
      <c r="E283" s="1" t="n">
        <v>46250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46250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60535-2025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45995</v>
      </c>
      <c r="E285" s="1" t="n">
        <v>46250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46250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46250</v>
      </c>
      <c r="F287" t="inlineStr">
        <is>
          <t>JÖNKÖPINGS LÄN</t>
        </is>
      </c>
      <c r="G287" t="inlineStr">
        <is>
          <t>NÄSSJÖ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46250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46250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46250</v>
      </c>
      <c r="F290" t="inlineStr">
        <is>
          <t>JÖNKÖPINGS LÄN</t>
        </is>
      </c>
      <c r="G290" t="inlineStr">
        <is>
          <t>NÄSSJÖ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46250</v>
      </c>
      <c r="F291" t="inlineStr">
        <is>
          <t>JÖNKÖPINGS LÄN</t>
        </is>
      </c>
      <c r="G291" t="inlineStr">
        <is>
          <t>NÄSSJÖ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46250</v>
      </c>
      <c r="F292" t="inlineStr">
        <is>
          <t>JÖNKÖPINGS LÄN</t>
        </is>
      </c>
      <c r="G292" t="inlineStr">
        <is>
          <t>NÄSSJÖ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46250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46250</v>
      </c>
      <c r="F294" t="inlineStr">
        <is>
          <t>JÖNKÖPINGS LÄN</t>
        </is>
      </c>
      <c r="G294" t="inlineStr">
        <is>
          <t>NÄSSJÖ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45637</v>
      </c>
      <c r="E295" s="1" t="n">
        <v>46250</v>
      </c>
      <c r="F295" t="inlineStr">
        <is>
          <t>JÖNKÖPINGS LÄN</t>
        </is>
      </c>
      <c r="G295" t="inlineStr">
        <is>
          <t>NÄSSJÖ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46250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46250</v>
      </c>
      <c r="F297" t="inlineStr">
        <is>
          <t>JÖNKÖPINGS LÄN</t>
        </is>
      </c>
      <c r="G297" t="inlineStr">
        <is>
          <t>NÄSSJÖ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45343</v>
      </c>
      <c r="E298" s="1" t="n">
        <v>46250</v>
      </c>
      <c r="F298" t="inlineStr">
        <is>
          <t>JÖNKÖPINGS LÄN</t>
        </is>
      </c>
      <c r="G298" t="inlineStr">
        <is>
          <t>NÄSSJÖ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46250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46250</v>
      </c>
      <c r="F300" t="inlineStr">
        <is>
          <t>JÖNKÖPINGS LÄN</t>
        </is>
      </c>
      <c r="G300" t="inlineStr">
        <is>
          <t>NÄSSJÖ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46250</v>
      </c>
      <c r="F301" t="inlineStr">
        <is>
          <t>JÖNKÖPINGS LÄN</t>
        </is>
      </c>
      <c r="G301" t="inlineStr">
        <is>
          <t>NÄSSJÖ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45014</v>
      </c>
      <c r="E302" s="1" t="n">
        <v>46250</v>
      </c>
      <c r="F302" t="inlineStr">
        <is>
          <t>JÖNKÖPINGS LÄN</t>
        </is>
      </c>
      <c r="G302" t="inlineStr">
        <is>
          <t>NÄSSJÖ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46250</v>
      </c>
      <c r="F303" t="inlineStr">
        <is>
          <t>JÖNKÖPINGS LÄN</t>
        </is>
      </c>
      <c r="G303" t="inlineStr">
        <is>
          <t>NÄSSJÖ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46250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46250</v>
      </c>
      <c r="F305" t="inlineStr">
        <is>
          <t>JÖNKÖPINGS LÄN</t>
        </is>
      </c>
      <c r="G305" t="inlineStr">
        <is>
          <t>NÄSSJÖ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46250</v>
      </c>
      <c r="F306" t="inlineStr">
        <is>
          <t>JÖNKÖPINGS LÄN</t>
        </is>
      </c>
      <c r="G306" t="inlineStr">
        <is>
          <t>NÄSSJÖ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46250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46250</v>
      </c>
      <c r="F308" t="inlineStr">
        <is>
          <t>JÖNKÖPINGS LÄN</t>
        </is>
      </c>
      <c r="G308" t="inlineStr">
        <is>
          <t>NÄSSJÖ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46250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45728</v>
      </c>
      <c r="E310" s="1" t="n">
        <v>46250</v>
      </c>
      <c r="F310" t="inlineStr">
        <is>
          <t>JÖNKÖPINGS LÄN</t>
        </is>
      </c>
      <c r="G310" t="inlineStr">
        <is>
          <t>NÄSSJÖ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46250</v>
      </c>
      <c r="F311" t="inlineStr">
        <is>
          <t>JÖNKÖPINGS LÄN</t>
        </is>
      </c>
      <c r="G311" t="inlineStr">
        <is>
          <t>NÄSSJÖ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46250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46250</v>
      </c>
      <c r="F313" t="inlineStr">
        <is>
          <t>JÖNKÖPINGS LÄN</t>
        </is>
      </c>
      <c r="G313" t="inlineStr">
        <is>
          <t>NÄSSJÖ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46250</v>
      </c>
      <c r="F314" t="inlineStr">
        <is>
          <t>JÖNKÖPINGS LÄN</t>
        </is>
      </c>
      <c r="G314" t="inlineStr">
        <is>
          <t>NÄSSJÖ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46250</v>
      </c>
      <c r="F315" t="inlineStr">
        <is>
          <t>JÖNKÖPINGS LÄN</t>
        </is>
      </c>
      <c r="G315" t="inlineStr">
        <is>
          <t>NÄSSJÖ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46250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46250</v>
      </c>
      <c r="F317" t="inlineStr">
        <is>
          <t>JÖNKÖPINGS LÄN</t>
        </is>
      </c>
      <c r="G317" t="inlineStr">
        <is>
          <t>NÄSSJÖ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52250-2022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46250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46250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46250</v>
      </c>
      <c r="F320" t="inlineStr">
        <is>
          <t>JÖNKÖPINGS LÄN</t>
        </is>
      </c>
      <c r="G320" t="inlineStr">
        <is>
          <t>NÄSSJÖ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46250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46250</v>
      </c>
      <c r="F322" t="inlineStr">
        <is>
          <t>JÖNKÖPINGS LÄN</t>
        </is>
      </c>
      <c r="G322" t="inlineStr">
        <is>
          <t>NÄSSJÖ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46250</v>
      </c>
      <c r="F323" t="inlineStr">
        <is>
          <t>JÖNKÖPINGS LÄN</t>
        </is>
      </c>
      <c r="G323" t="inlineStr">
        <is>
          <t>NÄSSJÖ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45694</v>
      </c>
      <c r="E324" s="1" t="n">
        <v>46250</v>
      </c>
      <c r="F324" t="inlineStr">
        <is>
          <t>JÖNKÖPINGS LÄN</t>
        </is>
      </c>
      <c r="G324" t="inlineStr">
        <is>
          <t>NÄSSJÖ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46250</v>
      </c>
      <c r="F325" t="inlineStr">
        <is>
          <t>JÖNKÖPINGS LÄN</t>
        </is>
      </c>
      <c r="G325" t="inlineStr">
        <is>
          <t>NÄSSJÖ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46250</v>
      </c>
      <c r="F326" t="inlineStr">
        <is>
          <t>JÖNKÖPINGS LÄN</t>
        </is>
      </c>
      <c r="G326" t="inlineStr">
        <is>
          <t>NÄSSJÖ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35811-2023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45148</v>
      </c>
      <c r="E327" s="1" t="n">
        <v>46250</v>
      </c>
      <c r="F327" t="inlineStr">
        <is>
          <t>JÖNKÖPINGS LÄN</t>
        </is>
      </c>
      <c r="G327" t="inlineStr">
        <is>
          <t>NÄSSJÖ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46250</v>
      </c>
      <c r="F328" t="inlineStr">
        <is>
          <t>JÖNKÖPINGS LÄN</t>
        </is>
      </c>
      <c r="G328" t="inlineStr">
        <is>
          <t>NÄSSJÖ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46250</v>
      </c>
      <c r="F329" t="inlineStr">
        <is>
          <t>JÖNKÖPINGS LÄN</t>
        </is>
      </c>
      <c r="G329" t="inlineStr">
        <is>
          <t>NÄSSJÖ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45277</v>
      </c>
      <c r="E330" s="1" t="n">
        <v>46250</v>
      </c>
      <c r="F330" t="inlineStr">
        <is>
          <t>JÖNKÖPINGS LÄN</t>
        </is>
      </c>
      <c r="G330" t="inlineStr">
        <is>
          <t>NÄSSJÖ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10645-2023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46250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44976</v>
      </c>
      <c r="E332" s="1" t="n">
        <v>46250</v>
      </c>
      <c r="F332" t="inlineStr">
        <is>
          <t>JÖNKÖPINGS LÄN</t>
        </is>
      </c>
      <c r="G332" t="inlineStr">
        <is>
          <t>NÄSSJÖ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45733</v>
      </c>
      <c r="E333" s="1" t="n">
        <v>46250</v>
      </c>
      <c r="F333" t="inlineStr">
        <is>
          <t>JÖNKÖPINGS LÄN</t>
        </is>
      </c>
      <c r="G333" t="inlineStr">
        <is>
          <t>NÄSSJÖ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46250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45821</v>
      </c>
      <c r="E335" s="1" t="n">
        <v>46250</v>
      </c>
      <c r="F335" t="inlineStr">
        <is>
          <t>JÖNKÖPINGS LÄN</t>
        </is>
      </c>
      <c r="G335" t="inlineStr">
        <is>
          <t>NÄSSJÖ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44484</v>
      </c>
      <c r="E336" s="1" t="n">
        <v>46250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46250</v>
      </c>
      <c r="F337" t="inlineStr">
        <is>
          <t>JÖNKÖPINGS LÄN</t>
        </is>
      </c>
      <c r="G337" t="inlineStr">
        <is>
          <t>NÄSSJÖ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46250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45154</v>
      </c>
      <c r="E339" s="1" t="n">
        <v>46250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44804</v>
      </c>
      <c r="E340" s="1" t="n">
        <v>46250</v>
      </c>
      <c r="F340" t="inlineStr">
        <is>
          <t>JÖNKÖPINGS LÄN</t>
        </is>
      </c>
      <c r="G340" t="inlineStr">
        <is>
          <t>NÄSSJÖ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46250</v>
      </c>
      <c r="F341" t="inlineStr">
        <is>
          <t>JÖNKÖPINGS LÄN</t>
        </is>
      </c>
      <c r="G341" t="inlineStr">
        <is>
          <t>NÄSSJÖ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45277</v>
      </c>
      <c r="E342" s="1" t="n">
        <v>46250</v>
      </c>
      <c r="F342" t="inlineStr">
        <is>
          <t>JÖNKÖPINGS LÄN</t>
        </is>
      </c>
      <c r="G342" t="inlineStr">
        <is>
          <t>NÄSSJÖ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46250</v>
      </c>
      <c r="F343" t="inlineStr">
        <is>
          <t>JÖNKÖPINGS LÄN</t>
        </is>
      </c>
      <c r="G343" t="inlineStr">
        <is>
          <t>NÄSSJÖ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46250</v>
      </c>
      <c r="F344" t="inlineStr">
        <is>
          <t>JÖNKÖPINGS LÄN</t>
        </is>
      </c>
      <c r="G344" t="inlineStr">
        <is>
          <t>NÄSSJÖ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46250</v>
      </c>
      <c r="F345" t="inlineStr">
        <is>
          <t>JÖNKÖPINGS LÄN</t>
        </is>
      </c>
      <c r="G345" t="inlineStr">
        <is>
          <t>NÄSSJÖ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46250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46250</v>
      </c>
      <c r="F347" t="inlineStr">
        <is>
          <t>JÖNKÖPINGS LÄN</t>
        </is>
      </c>
      <c r="G347" t="inlineStr">
        <is>
          <t>NÄSSJÖ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46250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46250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46001</v>
      </c>
      <c r="E350" s="1" t="n">
        <v>46250</v>
      </c>
      <c r="F350" t="inlineStr">
        <is>
          <t>JÖNKÖPINGS LÄN</t>
        </is>
      </c>
      <c r="G350" t="inlineStr">
        <is>
          <t>NÄSSJÖ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45372</v>
      </c>
      <c r="E351" s="1" t="n">
        <v>46250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45372</v>
      </c>
      <c r="E352" s="1" t="n">
        <v>46250</v>
      </c>
      <c r="F352" t="inlineStr">
        <is>
          <t>JÖNKÖPINGS LÄN</t>
        </is>
      </c>
      <c r="G352" t="inlineStr">
        <is>
          <t>NÄSSJÖ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46250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46250</v>
      </c>
      <c r="F354" t="inlineStr">
        <is>
          <t>JÖNKÖPINGS LÄN</t>
        </is>
      </c>
      <c r="G354" t="inlineStr">
        <is>
          <t>NÄSSJÖ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46250</v>
      </c>
      <c r="F355" t="inlineStr">
        <is>
          <t>JÖNKÖPINGS LÄN</t>
        </is>
      </c>
      <c r="G355" t="inlineStr">
        <is>
          <t>NÄSSJÖ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46250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46250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46250</v>
      </c>
      <c r="F358" t="inlineStr">
        <is>
          <t>JÖNKÖPINGS LÄN</t>
        </is>
      </c>
      <c r="G358" t="inlineStr">
        <is>
          <t>NÄSSJÖ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45370</v>
      </c>
      <c r="E359" s="1" t="n">
        <v>46250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46250</v>
      </c>
      <c r="F360" t="inlineStr">
        <is>
          <t>JÖNKÖPINGS LÄN</t>
        </is>
      </c>
      <c r="G360" t="inlineStr">
        <is>
          <t>NÄSSJÖ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46250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46250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46250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45083</v>
      </c>
      <c r="E364" s="1" t="n">
        <v>46250</v>
      </c>
      <c r="F364" t="inlineStr">
        <is>
          <t>JÖNKÖPINGS LÄN</t>
        </is>
      </c>
      <c r="G364" t="inlineStr">
        <is>
          <t>NÄSSJÖ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46057</v>
      </c>
      <c r="E365" s="1" t="n">
        <v>46250</v>
      </c>
      <c r="F365" t="inlineStr">
        <is>
          <t>JÖNKÖPINGS LÄN</t>
        </is>
      </c>
      <c r="G365" t="inlineStr">
        <is>
          <t>NÄSSJÖ</t>
        </is>
      </c>
      <c r="H365" t="inlineStr">
        <is>
          <t>Övriga Aktiebolag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45412</v>
      </c>
      <c r="E366" s="1" t="n">
        <v>46250</v>
      </c>
      <c r="F366" t="inlineStr">
        <is>
          <t>JÖNKÖPINGS LÄN</t>
        </is>
      </c>
      <c r="G366" t="inlineStr">
        <is>
          <t>NÄSSJÖ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46250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45616</v>
      </c>
      <c r="E368" s="1" t="n">
        <v>46250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46059</v>
      </c>
      <c r="E369" s="1" t="n">
        <v>46250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46250</v>
      </c>
      <c r="F370" t="inlineStr">
        <is>
          <t>JÖNKÖPINGS LÄN</t>
        </is>
      </c>
      <c r="G370" t="inlineStr">
        <is>
          <t>NÄSSJÖ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46250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46250</v>
      </c>
      <c r="F372" t="inlineStr">
        <is>
          <t>JÖNKÖPINGS LÄN</t>
        </is>
      </c>
      <c r="G372" t="inlineStr">
        <is>
          <t>NÄSSJÖ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45454</v>
      </c>
      <c r="E373" s="1" t="n">
        <v>46250</v>
      </c>
      <c r="F373" t="inlineStr">
        <is>
          <t>JÖNKÖPINGS LÄN</t>
        </is>
      </c>
      <c r="G373" t="inlineStr">
        <is>
          <t>NÄSSJÖ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46061</v>
      </c>
      <c r="E374" s="1" t="n">
        <v>46250</v>
      </c>
      <c r="F374" t="inlineStr">
        <is>
          <t>JÖNKÖPINGS LÄN</t>
        </is>
      </c>
      <c r="G374" t="inlineStr">
        <is>
          <t>NÄSSJÖ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29006-2024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45481</v>
      </c>
      <c r="E375" s="1" t="n">
        <v>46250</v>
      </c>
      <c r="F375" t="inlineStr">
        <is>
          <t>JÖNKÖPINGS LÄN</t>
        </is>
      </c>
      <c r="G375" t="inlineStr">
        <is>
          <t>NÄSSJÖ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44564</v>
      </c>
      <c r="E376" s="1" t="n">
        <v>46250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46250</v>
      </c>
      <c r="F377" t="inlineStr">
        <is>
          <t>JÖNKÖPINGS LÄN</t>
        </is>
      </c>
      <c r="G377" t="inlineStr">
        <is>
          <t>NÄSSJÖ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17933-2025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45760</v>
      </c>
      <c r="E378" s="1" t="n">
        <v>46250</v>
      </c>
      <c r="F378" t="inlineStr">
        <is>
          <t>JÖNKÖPINGS LÄN</t>
        </is>
      </c>
      <c r="G378" t="inlineStr">
        <is>
          <t>NÄSSJÖ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45760</v>
      </c>
      <c r="E379" s="1" t="n">
        <v>46250</v>
      </c>
      <c r="F379" t="inlineStr">
        <is>
          <t>JÖNKÖPINGS LÄN</t>
        </is>
      </c>
      <c r="G379" t="inlineStr">
        <is>
          <t>NÄSSJÖ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17943-2025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45760</v>
      </c>
      <c r="E380" s="1" t="n">
        <v>46250</v>
      </c>
      <c r="F380" t="inlineStr">
        <is>
          <t>JÖNKÖPINGS LÄN</t>
        </is>
      </c>
      <c r="G380" t="inlineStr">
        <is>
          <t>NÄSSJÖ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46250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46070</v>
      </c>
      <c r="E382" s="1" t="n">
        <v>46250</v>
      </c>
      <c r="F382" t="inlineStr">
        <is>
          <t>JÖNKÖPINGS LÄN</t>
        </is>
      </c>
      <c r="G382" t="inlineStr">
        <is>
          <t>NÄSSJÖ</t>
        </is>
      </c>
      <c r="H382" t="inlineStr">
        <is>
          <t>Kyrkan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45692</v>
      </c>
      <c r="E383" s="1" t="n">
        <v>46250</v>
      </c>
      <c r="F383" t="inlineStr">
        <is>
          <t>JÖNKÖPINGS LÄN</t>
        </is>
      </c>
      <c r="G383" t="inlineStr">
        <is>
          <t>NÄSSJÖ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46250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46250</v>
      </c>
      <c r="F385" t="inlineStr">
        <is>
          <t>JÖNKÖPINGS LÄN</t>
        </is>
      </c>
      <c r="G385" t="inlineStr">
        <is>
          <t>NÄSSJÖ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46250</v>
      </c>
      <c r="F386" t="inlineStr">
        <is>
          <t>JÖNKÖPINGS LÄN</t>
        </is>
      </c>
      <c r="G386" t="inlineStr">
        <is>
          <t>NÄSSJÖ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20606-2026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46140</v>
      </c>
      <c r="E387" s="1" t="n">
        <v>46250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46020</v>
      </c>
      <c r="E388" s="1" t="n">
        <v>46250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46250</v>
      </c>
      <c r="F389" t="inlineStr">
        <is>
          <t>JÖNKÖPINGS LÄN</t>
        </is>
      </c>
      <c r="G389" t="inlineStr">
        <is>
          <t>NÄSSJÖ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46250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28340-2023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45099</v>
      </c>
      <c r="E391" s="1" t="n">
        <v>46250</v>
      </c>
      <c r="F391" t="inlineStr">
        <is>
          <t>JÖNKÖPINGS LÄN</t>
        </is>
      </c>
      <c r="G391" t="inlineStr">
        <is>
          <t>NÄSSJÖ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44826</v>
      </c>
      <c r="E392" s="1" t="n">
        <v>46250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46250</v>
      </c>
      <c r="F393" t="inlineStr">
        <is>
          <t>JÖNKÖPINGS LÄN</t>
        </is>
      </c>
      <c r="G393" t="inlineStr">
        <is>
          <t>NÄSSJÖ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46250</v>
      </c>
      <c r="F394" t="inlineStr">
        <is>
          <t>JÖNKÖPINGS LÄN</t>
        </is>
      </c>
      <c r="G394" t="inlineStr">
        <is>
          <t>NÄSSJÖ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45602</v>
      </c>
      <c r="E395" s="1" t="n">
        <v>46250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46250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45617</v>
      </c>
      <c r="E397" s="1" t="n">
        <v>46250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46250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45757</v>
      </c>
      <c r="E399" s="1" t="n">
        <v>46250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46250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46250</v>
      </c>
      <c r="F401" t="inlineStr">
        <is>
          <t>JÖNKÖPINGS LÄN</t>
        </is>
      </c>
      <c r="G401" t="inlineStr">
        <is>
          <t>NÄSSJÖ</t>
        </is>
      </c>
      <c r="H401" t="inlineStr">
        <is>
          <t>Kyrkan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15325-2022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44659</v>
      </c>
      <c r="E402" s="1" t="n">
        <v>46250</v>
      </c>
      <c r="F402" t="inlineStr">
        <is>
          <t>JÖNKÖPINGS LÄN</t>
        </is>
      </c>
      <c r="G402" t="inlineStr">
        <is>
          <t>NÄSSJÖ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46250</v>
      </c>
      <c r="F403" t="inlineStr">
        <is>
          <t>JÖNKÖPINGS LÄN</t>
        </is>
      </c>
      <c r="G403" t="inlineStr">
        <is>
          <t>NÄSSJÖ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45732</v>
      </c>
      <c r="E404" s="1" t="n">
        <v>46250</v>
      </c>
      <c r="F404" t="inlineStr">
        <is>
          <t>JÖNKÖPINGS LÄN</t>
        </is>
      </c>
      <c r="G404" t="inlineStr">
        <is>
          <t>NÄSSJÖ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46250</v>
      </c>
      <c r="F405" t="inlineStr">
        <is>
          <t>JÖNKÖPINGS LÄN</t>
        </is>
      </c>
      <c r="G405" t="inlineStr">
        <is>
          <t>NÄSSJÖ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44858</v>
      </c>
      <c r="E406" s="1" t="n">
        <v>46250</v>
      </c>
      <c r="F406" t="inlineStr">
        <is>
          <t>JÖNKÖPINGS LÄN</t>
        </is>
      </c>
      <c r="G406" t="inlineStr">
        <is>
          <t>NÄSSJÖ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46250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46250</v>
      </c>
      <c r="F408" t="inlineStr">
        <is>
          <t>JÖNKÖPINGS LÄN</t>
        </is>
      </c>
      <c r="G408" t="inlineStr">
        <is>
          <t>NÄSSJÖ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46250</v>
      </c>
      <c r="F409" t="inlineStr">
        <is>
          <t>JÖNKÖPINGS LÄN</t>
        </is>
      </c>
      <c r="G409" t="inlineStr">
        <is>
          <t>NÄSSJÖ</t>
        </is>
      </c>
      <c r="I409" t="n">
        <v>13.7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44928</v>
      </c>
      <c r="E410" s="1" t="n">
        <v>46250</v>
      </c>
      <c r="F410" t="inlineStr">
        <is>
          <t>JÖNKÖPINGS LÄN</t>
        </is>
      </c>
      <c r="G410" t="inlineStr">
        <is>
          <t>NÄSSJÖ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45046</v>
      </c>
      <c r="E411" s="1" t="n">
        <v>46250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46250</v>
      </c>
      <c r="F412" t="inlineStr">
        <is>
          <t>JÖNKÖPINGS LÄN</t>
        </is>
      </c>
      <c r="G412" t="inlineStr">
        <is>
          <t>NÄSSJÖ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46250</v>
      </c>
      <c r="F413" t="inlineStr">
        <is>
          <t>JÖNKÖPINGS LÄN</t>
        </is>
      </c>
      <c r="G413" t="inlineStr">
        <is>
          <t>NÄSSJÖ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46146</v>
      </c>
      <c r="E414" s="1" t="n">
        <v>46250</v>
      </c>
      <c r="F414" t="inlineStr">
        <is>
          <t>JÖNKÖPINGS LÄN</t>
        </is>
      </c>
      <c r="G414" t="inlineStr">
        <is>
          <t>NÄSSJÖ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45380</v>
      </c>
      <c r="E415" s="1" t="n">
        <v>46250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52236-2021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44463</v>
      </c>
      <c r="E416" s="1" t="n">
        <v>46250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46250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15862-2022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44664</v>
      </c>
      <c r="E418" s="1" t="n">
        <v>46250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45704</v>
      </c>
      <c r="E419" s="1" t="n">
        <v>46250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45109</v>
      </c>
      <c r="E420" s="1" t="n">
        <v>46250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45732</v>
      </c>
      <c r="E421" s="1" t="n">
        <v>46250</v>
      </c>
      <c r="F421" t="inlineStr">
        <is>
          <t>JÖNKÖPINGS LÄN</t>
        </is>
      </c>
      <c r="G421" t="inlineStr">
        <is>
          <t>NÄSSJÖ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46250</v>
      </c>
      <c r="F422" t="inlineStr">
        <is>
          <t>JÖNKÖPINGS LÄN</t>
        </is>
      </c>
      <c r="G422" t="inlineStr">
        <is>
          <t>NÄSSJÖ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46250</v>
      </c>
      <c r="F423" t="inlineStr">
        <is>
          <t>JÖNKÖPINGS LÄN</t>
        </is>
      </c>
      <c r="G423" t="inlineStr">
        <is>
          <t>NÄSSJÖ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45013</v>
      </c>
      <c r="E424" s="1" t="n">
        <v>46250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46250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45380</v>
      </c>
      <c r="E426" s="1" t="n">
        <v>46250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46250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46250</v>
      </c>
      <c r="F428" t="inlineStr">
        <is>
          <t>JÖNKÖPINGS LÄN</t>
        </is>
      </c>
      <c r="G428" t="inlineStr">
        <is>
          <t>NÄSSJÖ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45343</v>
      </c>
      <c r="E429" s="1" t="n">
        <v>46250</v>
      </c>
      <c r="F429" t="inlineStr">
        <is>
          <t>JÖNKÖPINGS LÄN</t>
        </is>
      </c>
      <c r="G429" t="inlineStr">
        <is>
          <t>NÄSSJÖ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57918-2021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44487</v>
      </c>
      <c r="E430" s="1" t="n">
        <v>46250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46154</v>
      </c>
      <c r="E431" s="1" t="n">
        <v>46250</v>
      </c>
      <c r="F431" t="inlineStr">
        <is>
          <t>JÖNKÖPINGS LÄN</t>
        </is>
      </c>
      <c r="G431" t="inlineStr">
        <is>
          <t>NÄSSJÖ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46250</v>
      </c>
      <c r="F432" t="inlineStr">
        <is>
          <t>JÖNKÖPINGS LÄN</t>
        </is>
      </c>
      <c r="G432" t="inlineStr">
        <is>
          <t>NÄSSJÖ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45756</v>
      </c>
      <c r="E433" s="1" t="n">
        <v>46250</v>
      </c>
      <c r="F433" t="inlineStr">
        <is>
          <t>JÖNKÖPINGS LÄN</t>
        </is>
      </c>
      <c r="G433" t="inlineStr">
        <is>
          <t>NÄSSJÖ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15993-2022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44665</v>
      </c>
      <c r="E434" s="1" t="n">
        <v>46250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45742</v>
      </c>
      <c r="E435" s="1" t="n">
        <v>46250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46250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46250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56411-2024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45625</v>
      </c>
      <c r="E438" s="1" t="n">
        <v>46250</v>
      </c>
      <c r="F438" t="inlineStr">
        <is>
          <t>JÖNKÖPINGS LÄN</t>
        </is>
      </c>
      <c r="G438" t="inlineStr">
        <is>
          <t>NÄSSJÖ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45734</v>
      </c>
      <c r="E439" s="1" t="n">
        <v>46250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46250</v>
      </c>
      <c r="F440" t="inlineStr">
        <is>
          <t>JÖNKÖPINGS LÄN</t>
        </is>
      </c>
      <c r="G440" t="inlineStr">
        <is>
          <t>NÄSSJÖ</t>
        </is>
      </c>
      <c r="H440" t="inlineStr">
        <is>
          <t>Kommuner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16657-2024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46250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46250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46250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46250</v>
      </c>
      <c r="F444" t="inlineStr">
        <is>
          <t>JÖNKÖPINGS LÄN</t>
        </is>
      </c>
      <c r="G444" t="inlineStr">
        <is>
          <t>NÄSSJÖ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44819</v>
      </c>
      <c r="E445" s="1" t="n">
        <v>46250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45238</v>
      </c>
      <c r="E446" s="1" t="n">
        <v>46250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57678-2021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44484</v>
      </c>
      <c r="E447" s="1" t="n">
        <v>46250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44453</v>
      </c>
      <c r="E448" s="1" t="n">
        <v>46250</v>
      </c>
      <c r="F448" t="inlineStr">
        <is>
          <t>JÖNKÖPINGS LÄN</t>
        </is>
      </c>
      <c r="G448" t="inlineStr">
        <is>
          <t>NÄSSJÖ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45277</v>
      </c>
      <c r="E449" s="1" t="n">
        <v>46250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46250</v>
      </c>
      <c r="F450" t="inlineStr">
        <is>
          <t>JÖNKÖPINGS LÄN</t>
        </is>
      </c>
      <c r="G450" t="inlineStr">
        <is>
          <t>NÄSSJÖ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45163</v>
      </c>
      <c r="E451" s="1" t="n">
        <v>46250</v>
      </c>
      <c r="F451" t="inlineStr">
        <is>
          <t>JÖNKÖPINGS LÄN</t>
        </is>
      </c>
      <c r="G451" t="inlineStr">
        <is>
          <t>NÄSSJÖ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45335</v>
      </c>
      <c r="E452" s="1" t="n">
        <v>46250</v>
      </c>
      <c r="F452" t="inlineStr">
        <is>
          <t>JÖNKÖPINGS LÄN</t>
        </is>
      </c>
      <c r="G452" t="inlineStr">
        <is>
          <t>NÄSSJÖ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45335</v>
      </c>
      <c r="E453" s="1" t="n">
        <v>46250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45776</v>
      </c>
      <c r="E454" s="1" t="n">
        <v>46250</v>
      </c>
      <c r="F454" t="inlineStr">
        <is>
          <t>JÖNKÖPINGS LÄN</t>
        </is>
      </c>
      <c r="G454" t="inlineStr">
        <is>
          <t>NÄSSJÖ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46250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44956</v>
      </c>
      <c r="E456" s="1" t="n">
        <v>46250</v>
      </c>
      <c r="F456" t="inlineStr">
        <is>
          <t>JÖNKÖPINGS LÄN</t>
        </is>
      </c>
      <c r="G456" t="inlineStr">
        <is>
          <t>NÄSSJÖ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63695-2023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45275</v>
      </c>
      <c r="E457" s="1" t="n">
        <v>46250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46250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46250</v>
      </c>
      <c r="F459" t="inlineStr">
        <is>
          <t>JÖNKÖPINGS LÄN</t>
        </is>
      </c>
      <c r="G459" t="inlineStr">
        <is>
          <t>NÄSSJÖ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45106</v>
      </c>
      <c r="E460" s="1" t="n">
        <v>46250</v>
      </c>
      <c r="F460" t="inlineStr">
        <is>
          <t>JÖNKÖPINGS LÄN</t>
        </is>
      </c>
      <c r="G460" t="inlineStr">
        <is>
          <t>NÄSSJÖ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45784</v>
      </c>
      <c r="E461" s="1" t="n">
        <v>46250</v>
      </c>
      <c r="F461" t="inlineStr">
        <is>
          <t>JÖNKÖPINGS LÄN</t>
        </is>
      </c>
      <c r="G461" t="inlineStr">
        <is>
          <t>NÄSSJÖ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30382-2026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46209</v>
      </c>
      <c r="E462" s="1" t="n">
        <v>46250</v>
      </c>
      <c r="F462" t="inlineStr">
        <is>
          <t>JÖNKÖPINGS LÄN</t>
        </is>
      </c>
      <c r="G462" t="inlineStr">
        <is>
          <t>NÄSSJÖ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46250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46250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46250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45373</v>
      </c>
      <c r="E466" s="1" t="n">
        <v>46250</v>
      </c>
      <c r="F466" t="inlineStr">
        <is>
          <t>JÖNKÖPINGS LÄN</t>
        </is>
      </c>
      <c r="G466" t="inlineStr">
        <is>
          <t>NÄSSJÖ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46250</v>
      </c>
      <c r="F467" t="inlineStr">
        <is>
          <t>JÖNKÖPINGS LÄN</t>
        </is>
      </c>
      <c r="G467" t="inlineStr">
        <is>
          <t>NÄSSJÖ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46250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45760</v>
      </c>
      <c r="E469" s="1" t="n">
        <v>46250</v>
      </c>
      <c r="F469" t="inlineStr">
        <is>
          <t>JÖNKÖPINGS LÄN</t>
        </is>
      </c>
      <c r="G469" t="inlineStr">
        <is>
          <t>NÄSSJÖ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46250</v>
      </c>
      <c r="F470" t="inlineStr">
        <is>
          <t>JÖNKÖPINGS LÄN</t>
        </is>
      </c>
      <c r="G470" t="inlineStr">
        <is>
          <t>NÄSSJÖ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45259</v>
      </c>
      <c r="E471" s="1" t="n">
        <v>46250</v>
      </c>
      <c r="F471" t="inlineStr">
        <is>
          <t>JÖNKÖPINGS LÄN</t>
        </is>
      </c>
      <c r="G471" t="inlineStr">
        <is>
          <t>NÄSSJÖ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45162</v>
      </c>
      <c r="E472" s="1" t="n">
        <v>46250</v>
      </c>
      <c r="F472" t="inlineStr">
        <is>
          <t>JÖNKÖPINGS LÄN</t>
        </is>
      </c>
      <c r="G472" t="inlineStr">
        <is>
          <t>NÄSSJÖ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46250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46250</v>
      </c>
      <c r="F474" t="inlineStr">
        <is>
          <t>JÖNKÖPINGS LÄN</t>
        </is>
      </c>
      <c r="G474" t="inlineStr">
        <is>
          <t>NÄSSJÖ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63630-2023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45275</v>
      </c>
      <c r="E475" s="1" t="n">
        <v>46250</v>
      </c>
      <c r="F475" t="inlineStr">
        <is>
          <t>JÖNKÖPINGS LÄN</t>
        </is>
      </c>
      <c r="G475" t="inlineStr">
        <is>
          <t>NÄSSJÖ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45109</v>
      </c>
      <c r="E476" s="1" t="n">
        <v>46250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45109</v>
      </c>
      <c r="E477" s="1" t="n">
        <v>46250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46250</v>
      </c>
      <c r="F478" t="inlineStr">
        <is>
          <t>JÖNKÖPINGS LÄN</t>
        </is>
      </c>
      <c r="G478" t="inlineStr">
        <is>
          <t>NÄSSJÖ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7175-2022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44605</v>
      </c>
      <c r="E479" s="1" t="n">
        <v>46250</v>
      </c>
      <c r="F479" t="inlineStr">
        <is>
          <t>JÖNKÖPINGS LÄN</t>
        </is>
      </c>
      <c r="G479" t="inlineStr">
        <is>
          <t>NÄSSJÖ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44609</v>
      </c>
      <c r="E480" s="1" t="n">
        <v>46250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46250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3647-2024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45320</v>
      </c>
      <c r="E482" s="1" t="n">
        <v>46250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46250</v>
      </c>
      <c r="F483" t="inlineStr">
        <is>
          <t>JÖNKÖPINGS LÄN</t>
        </is>
      </c>
      <c r="G483" t="inlineStr">
        <is>
          <t>NÄSSJÖ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46250</v>
      </c>
      <c r="F484" t="inlineStr">
        <is>
          <t>JÖNKÖPINGS LÄN</t>
        </is>
      </c>
      <c r="G484" t="inlineStr">
        <is>
          <t>NÄSSJÖ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46250</v>
      </c>
      <c r="F485" t="inlineStr">
        <is>
          <t>JÖNKÖPINGS LÄN</t>
        </is>
      </c>
      <c r="G485" t="inlineStr">
        <is>
          <t>NÄSSJÖ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45586</v>
      </c>
      <c r="E486" s="1" t="n">
        <v>46250</v>
      </c>
      <c r="F486" t="inlineStr">
        <is>
          <t>JÖNKÖPINGS LÄN</t>
        </is>
      </c>
      <c r="G486" t="inlineStr">
        <is>
          <t>NÄSSJÖ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46250</v>
      </c>
      <c r="F487" t="inlineStr">
        <is>
          <t>JÖNKÖPINGS LÄN</t>
        </is>
      </c>
      <c r="G487" t="inlineStr">
        <is>
          <t>NÄSSJÖ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46250</v>
      </c>
      <c r="F488" t="inlineStr">
        <is>
          <t>JÖNKÖPINGS LÄN</t>
        </is>
      </c>
      <c r="G488" t="inlineStr">
        <is>
          <t>NÄSSJÖ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46250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63628-2023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45275</v>
      </c>
      <c r="E490" s="1" t="n">
        <v>46250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45795</v>
      </c>
      <c r="E491" s="1" t="n">
        <v>46250</v>
      </c>
      <c r="F491" t="inlineStr">
        <is>
          <t>JÖNKÖPINGS LÄN</t>
        </is>
      </c>
      <c r="G491" t="inlineStr">
        <is>
          <t>NÄSSJÖ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45795</v>
      </c>
      <c r="E492" s="1" t="n">
        <v>46250</v>
      </c>
      <c r="F492" t="inlineStr">
        <is>
          <t>JÖNKÖPINGS LÄN</t>
        </is>
      </c>
      <c r="G492" t="inlineStr">
        <is>
          <t>NÄSSJÖ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46250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46250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24825-2026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46250</v>
      </c>
      <c r="F495" t="inlineStr">
        <is>
          <t>JÖNKÖPINGS LÄN</t>
        </is>
      </c>
      <c r="G495" t="inlineStr">
        <is>
          <t>NÄSSJÖ</t>
        </is>
      </c>
      <c r="H495" t="inlineStr">
        <is>
          <t>Sveaskog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45190</v>
      </c>
      <c r="E496" s="1" t="n">
        <v>46250</v>
      </c>
      <c r="F496" t="inlineStr">
        <is>
          <t>JÖNKÖPINGS LÄN</t>
        </is>
      </c>
      <c r="G496" t="inlineStr">
        <is>
          <t>NÄSSJÖ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24873-2026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46174</v>
      </c>
      <c r="E497" s="1" t="n">
        <v>46250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45260</v>
      </c>
      <c r="E498" s="1" t="n">
        <v>46250</v>
      </c>
      <c r="F498" t="inlineStr">
        <is>
          <t>JÖNKÖPINGS LÄN</t>
        </is>
      </c>
      <c r="G498" t="inlineStr">
        <is>
          <t>NÄSSJÖ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45728</v>
      </c>
      <c r="E499" s="1" t="n">
        <v>46250</v>
      </c>
      <c r="F499" t="inlineStr">
        <is>
          <t>JÖNKÖPINGS LÄN</t>
        </is>
      </c>
      <c r="G499" t="inlineStr">
        <is>
          <t>NÄSSJÖ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45742</v>
      </c>
      <c r="E500" s="1" t="n">
        <v>46250</v>
      </c>
      <c r="F500" t="inlineStr">
        <is>
          <t>JÖNKÖPINGS LÄN</t>
        </is>
      </c>
      <c r="G500" t="inlineStr">
        <is>
          <t>NÄSSJÖ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45723</v>
      </c>
      <c r="E501" s="1" t="n">
        <v>46250</v>
      </c>
      <c r="F501" t="inlineStr">
        <is>
          <t>JÖNKÖPINGS LÄN</t>
        </is>
      </c>
      <c r="G501" t="inlineStr">
        <is>
          <t>NÄSSJÖ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12710-2025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46250</v>
      </c>
      <c r="F502" t="inlineStr">
        <is>
          <t>JÖNKÖPINGS LÄN</t>
        </is>
      </c>
      <c r="G502" t="inlineStr">
        <is>
          <t>NÄSSJÖ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45356</v>
      </c>
      <c r="E503" s="1" t="n">
        <v>46250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45446</v>
      </c>
      <c r="E504" s="1" t="n">
        <v>46250</v>
      </c>
      <c r="F504" t="inlineStr">
        <is>
          <t>JÖNKÖPINGS LÄN</t>
        </is>
      </c>
      <c r="G504" t="inlineStr">
        <is>
          <t>NÄSSJÖ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46250</v>
      </c>
      <c r="F505" t="inlineStr">
        <is>
          <t>JÖNKÖPINGS LÄN</t>
        </is>
      </c>
      <c r="G505" t="inlineStr">
        <is>
          <t>NÄSSJÖ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45742</v>
      </c>
      <c r="E506" s="1" t="n">
        <v>46250</v>
      </c>
      <c r="F506" t="inlineStr">
        <is>
          <t>JÖNKÖPINGS LÄN</t>
        </is>
      </c>
      <c r="G506" t="inlineStr">
        <is>
          <t>NÄSSJÖ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31172-2024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45503</v>
      </c>
      <c r="E507" s="1" t="n">
        <v>46250</v>
      </c>
      <c r="F507" t="inlineStr">
        <is>
          <t>JÖNKÖPINGS LÄN</t>
        </is>
      </c>
      <c r="G507" t="inlineStr">
        <is>
          <t>NÄSSJÖ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45118</v>
      </c>
      <c r="E508" s="1" t="n">
        <v>46250</v>
      </c>
      <c r="F508" t="inlineStr">
        <is>
          <t>JÖNKÖPINGS LÄN</t>
        </is>
      </c>
      <c r="G508" t="inlineStr">
        <is>
          <t>NÄSSJÖ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45729</v>
      </c>
      <c r="E509" s="1" t="n">
        <v>46250</v>
      </c>
      <c r="F509" t="inlineStr">
        <is>
          <t>JÖNKÖPINGS LÄN</t>
        </is>
      </c>
      <c r="G509" t="inlineStr">
        <is>
          <t>NÄSSJÖ</t>
        </is>
      </c>
      <c r="I509" t="n">
        <v>9.4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46250</v>
      </c>
      <c r="F510" t="inlineStr">
        <is>
          <t>JÖNKÖPINGS LÄN</t>
        </is>
      </c>
      <c r="G510" t="inlineStr">
        <is>
          <t>NÄSSJÖ</t>
        </is>
      </c>
      <c r="H510" t="inlineStr">
        <is>
          <t>Sveaskog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46250</v>
      </c>
      <c r="F511" t="inlineStr">
        <is>
          <t>JÖNKÖPINGS LÄN</t>
        </is>
      </c>
      <c r="G511" t="inlineStr">
        <is>
          <t>NÄSSJÖ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46250</v>
      </c>
      <c r="F512" t="inlineStr">
        <is>
          <t>JÖNKÖPINGS LÄN</t>
        </is>
      </c>
      <c r="G512" t="inlineStr">
        <is>
          <t>NÄSSJÖ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46250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46250</v>
      </c>
      <c r="F514" t="inlineStr">
        <is>
          <t>JÖNKÖPINGS LÄN</t>
        </is>
      </c>
      <c r="G514" t="inlineStr">
        <is>
          <t>NÄSSJÖ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5230-2022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44594</v>
      </c>
      <c r="E515" s="1" t="n">
        <v>46250</v>
      </c>
      <c r="F515" t="inlineStr">
        <is>
          <t>JÖNKÖPINGS LÄN</t>
        </is>
      </c>
      <c r="G515" t="inlineStr">
        <is>
          <t>NÄSSJÖ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45281</v>
      </c>
      <c r="E516" s="1" t="n">
        <v>46250</v>
      </c>
      <c r="F516" t="inlineStr">
        <is>
          <t>JÖNKÖPINGS LÄN</t>
        </is>
      </c>
      <c r="G516" t="inlineStr">
        <is>
          <t>NÄSSJÖ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46250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44816</v>
      </c>
      <c r="E518" s="1" t="n">
        <v>46250</v>
      </c>
      <c r="F518" t="inlineStr">
        <is>
          <t>JÖNKÖPINGS LÄN</t>
        </is>
      </c>
      <c r="G518" t="inlineStr">
        <is>
          <t>NÄSSJÖ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45601</v>
      </c>
      <c r="E519" s="1" t="n">
        <v>46250</v>
      </c>
      <c r="F519" t="inlineStr">
        <is>
          <t>JÖNKÖPINGS LÄN</t>
        </is>
      </c>
      <c r="G519" t="inlineStr">
        <is>
          <t>NÄSSJÖ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46250</v>
      </c>
      <c r="F520" t="inlineStr">
        <is>
          <t>JÖNKÖPINGS LÄN</t>
        </is>
      </c>
      <c r="G520" t="inlineStr">
        <is>
          <t>NÄSSJÖ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46250</v>
      </c>
      <c r="F521" t="inlineStr">
        <is>
          <t>JÖNKÖPINGS LÄN</t>
        </is>
      </c>
      <c r="G521" t="inlineStr">
        <is>
          <t>NÄSSJÖ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46250</v>
      </c>
      <c r="F522" t="inlineStr">
        <is>
          <t>JÖNKÖPINGS LÄN</t>
        </is>
      </c>
      <c r="G522" t="inlineStr">
        <is>
          <t>NÄSSJÖ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46250</v>
      </c>
      <c r="F523" t="inlineStr">
        <is>
          <t>JÖNKÖPINGS LÄN</t>
        </is>
      </c>
      <c r="G523" t="inlineStr">
        <is>
          <t>NÄSSJÖ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46250</v>
      </c>
      <c r="F524" t="inlineStr">
        <is>
          <t>JÖNKÖPINGS LÄN</t>
        </is>
      </c>
      <c r="G524" t="inlineStr">
        <is>
          <t>NÄSSJÖ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46250</v>
      </c>
      <c r="F525" t="inlineStr">
        <is>
          <t>JÖNKÖPINGS LÄN</t>
        </is>
      </c>
      <c r="G525" t="inlineStr">
        <is>
          <t>NÄSSJÖ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45818</v>
      </c>
      <c r="E526" s="1" t="n">
        <v>46250</v>
      </c>
      <c r="F526" t="inlineStr">
        <is>
          <t>JÖNKÖPINGS LÄN</t>
        </is>
      </c>
      <c r="G526" t="inlineStr">
        <is>
          <t>NÄSSJÖ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15819-2022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44664</v>
      </c>
      <c r="E527" s="1" t="n">
        <v>46250</v>
      </c>
      <c r="F527" t="inlineStr">
        <is>
          <t>JÖNKÖPINGS LÄN</t>
        </is>
      </c>
      <c r="G527" t="inlineStr">
        <is>
          <t>NÄSSJÖ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46250</v>
      </c>
      <c r="F528" t="inlineStr">
        <is>
          <t>JÖNKÖPINGS LÄN</t>
        </is>
      </c>
      <c r="G528" t="inlineStr">
        <is>
          <t>NÄSSJÖ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46250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46187</v>
      </c>
      <c r="E530" s="1" t="n">
        <v>46250</v>
      </c>
      <c r="F530" t="inlineStr">
        <is>
          <t>JÖNKÖPINGS LÄN</t>
        </is>
      </c>
      <c r="G530" t="inlineStr">
        <is>
          <t>NÄSSJÖ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46250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46250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46187</v>
      </c>
      <c r="E533" s="1" t="n">
        <v>46250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46187</v>
      </c>
      <c r="E534" s="1" t="n">
        <v>46250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45824</v>
      </c>
      <c r="E535" s="1" t="n">
        <v>46250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29242-2025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46250</v>
      </c>
      <c r="F536" t="inlineStr">
        <is>
          <t>JÖNKÖPINGS LÄN</t>
        </is>
      </c>
      <c r="G536" t="inlineStr">
        <is>
          <t>NÄSSJÖ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45821</v>
      </c>
      <c r="E537" s="1" t="n">
        <v>46250</v>
      </c>
      <c r="F537" t="inlineStr">
        <is>
          <t>JÖNKÖPINGS LÄN</t>
        </is>
      </c>
      <c r="G537" t="inlineStr">
        <is>
          <t>NÄSSJÖ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46250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46250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45695</v>
      </c>
      <c r="E540" s="1" t="n">
        <v>46250</v>
      </c>
      <c r="F540" t="inlineStr">
        <is>
          <t>JÖNKÖPINGS LÄN</t>
        </is>
      </c>
      <c r="G540" t="inlineStr">
        <is>
          <t>NÄSSJÖ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46250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46250</v>
      </c>
      <c r="F542" t="inlineStr">
        <is>
          <t>JÖNKÖPINGS LÄN</t>
        </is>
      </c>
      <c r="G542" t="inlineStr">
        <is>
          <t>NÄSSJÖ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45083</v>
      </c>
      <c r="E543" s="1" t="n">
        <v>46250</v>
      </c>
      <c r="F543" t="inlineStr">
        <is>
          <t>JÖNKÖPINGS LÄN</t>
        </is>
      </c>
      <c r="G543" t="inlineStr">
        <is>
          <t>NÄSSJÖ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45794</v>
      </c>
      <c r="E544" s="1" t="n">
        <v>46250</v>
      </c>
      <c r="F544" t="inlineStr">
        <is>
          <t>JÖNKÖPINGS LÄN</t>
        </is>
      </c>
      <c r="G544" t="inlineStr">
        <is>
          <t>NÄSSJÖ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46250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46250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46250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46250</v>
      </c>
      <c r="F548" t="inlineStr">
        <is>
          <t>JÖNKÖPINGS LÄN</t>
        </is>
      </c>
      <c r="G548" t="inlineStr">
        <is>
          <t>NÄSSJÖ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46250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46250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46250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46250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45843</v>
      </c>
      <c r="E553" s="1" t="n">
        <v>46250</v>
      </c>
      <c r="F553" t="inlineStr">
        <is>
          <t>JÖNKÖPINGS LÄN</t>
        </is>
      </c>
      <c r="G553" t="inlineStr">
        <is>
          <t>NÄSSJÖ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46250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46250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46250</v>
      </c>
      <c r="F556" t="inlineStr">
        <is>
          <t>JÖNKÖPINGS LÄN</t>
        </is>
      </c>
      <c r="G556" t="inlineStr">
        <is>
          <t>NÄSSJÖ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46250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46250</v>
      </c>
      <c r="F558" t="inlineStr">
        <is>
          <t>JÖNKÖPINGS LÄN</t>
        </is>
      </c>
      <c r="G558" t="inlineStr">
        <is>
          <t>NÄSSJÖ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46250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9943-2025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45719</v>
      </c>
      <c r="E560" s="1" t="n">
        <v>46250</v>
      </c>
      <c r="F560" t="inlineStr">
        <is>
          <t>JÖNKÖPINGS LÄN</t>
        </is>
      </c>
      <c r="G560" t="inlineStr">
        <is>
          <t>NÄSSJÖ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10500-2025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45721</v>
      </c>
      <c r="E561" s="1" t="n">
        <v>46250</v>
      </c>
      <c r="F561" t="inlineStr">
        <is>
          <t>JÖNKÖPINGS LÄN</t>
        </is>
      </c>
      <c r="G561" t="inlineStr">
        <is>
          <t>NÄSSJÖ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46243</v>
      </c>
      <c r="E562" s="1" t="n">
        <v>46250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46243</v>
      </c>
      <c r="E563" s="1" t="n">
        <v>46250</v>
      </c>
      <c r="F563" t="inlineStr">
        <is>
          <t>JÖNKÖPINGS LÄN</t>
        </is>
      </c>
      <c r="G563" t="inlineStr">
        <is>
          <t>NÄSSJÖ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46250</v>
      </c>
      <c r="F564" t="inlineStr">
        <is>
          <t>JÖNKÖPINGS LÄN</t>
        </is>
      </c>
      <c r="G564" t="inlineStr">
        <is>
          <t>NÄSSJÖ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46243</v>
      </c>
      <c r="E565" s="1" t="n">
        <v>46250</v>
      </c>
      <c r="F565" t="inlineStr">
        <is>
          <t>JÖNKÖPINGS LÄN</t>
        </is>
      </c>
      <c r="G565" t="inlineStr">
        <is>
          <t>NÄSSJÖ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46250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46243</v>
      </c>
      <c r="E567" s="1" t="n">
        <v>46250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46243</v>
      </c>
      <c r="E568" s="1" t="n">
        <v>46250</v>
      </c>
      <c r="F568" t="inlineStr">
        <is>
          <t>JÖNKÖPINGS LÄN</t>
        </is>
      </c>
      <c r="G568" t="inlineStr">
        <is>
          <t>NÄSSJÖ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46250</v>
      </c>
      <c r="F569" t="inlineStr">
        <is>
          <t>JÖNKÖPINGS LÄN</t>
        </is>
      </c>
      <c r="G569" t="inlineStr">
        <is>
          <t>NÄSSJÖ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46250</v>
      </c>
      <c r="F570" t="inlineStr">
        <is>
          <t>JÖNKÖPINGS LÄN</t>
        </is>
      </c>
      <c r="G570" t="inlineStr">
        <is>
          <t>NÄSSJÖ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46202</v>
      </c>
      <c r="E571" s="1" t="n">
        <v>46250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46250</v>
      </c>
      <c r="F572" t="inlineStr">
        <is>
          <t>JÖNKÖPINGS LÄN</t>
        </is>
      </c>
      <c r="G572" t="inlineStr">
        <is>
          <t>NÄSSJÖ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46250</v>
      </c>
      <c r="F573" t="inlineStr">
        <is>
          <t>JÖNKÖPINGS LÄN</t>
        </is>
      </c>
      <c r="G573" t="inlineStr">
        <is>
          <t>NÄSSJÖ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46250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46250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1040-2022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44613</v>
      </c>
      <c r="E576" s="1" t="n">
        <v>46250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46250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1405-2023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45042</v>
      </c>
      <c r="E578" s="1" t="n">
        <v>46250</v>
      </c>
      <c r="F578" t="inlineStr">
        <is>
          <t>JÖNKÖPINGS LÄN</t>
        </is>
      </c>
      <c r="G578" t="inlineStr">
        <is>
          <t>NÄSSJÖ</t>
        </is>
      </c>
      <c r="I578" t="n">
        <v>26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2094-2024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45453</v>
      </c>
      <c r="E579" s="1" t="n">
        <v>46250</v>
      </c>
      <c r="F579" t="inlineStr">
        <is>
          <t>JÖNKÖPINGS LÄN</t>
        </is>
      </c>
      <c r="G579" t="inlineStr">
        <is>
          <t>NÄSSJÖ</t>
        </is>
      </c>
      <c r="I579" t="n">
        <v>37.7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45411</v>
      </c>
      <c r="E580" s="1" t="n">
        <v>46250</v>
      </c>
      <c r="F580" t="inlineStr">
        <is>
          <t>JÖNKÖPINGS LÄN</t>
        </is>
      </c>
      <c r="G580" t="inlineStr">
        <is>
          <t>NÄSSJÖ</t>
        </is>
      </c>
      <c r="I580" t="n">
        <v>26.6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1263-2023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46250</v>
      </c>
      <c r="F581" t="inlineStr">
        <is>
          <t>JÖNKÖPINGS LÄN</t>
        </is>
      </c>
      <c r="G581" t="inlineStr">
        <is>
          <t>NÄSSJÖ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45118</v>
      </c>
      <c r="E582" s="1" t="n">
        <v>46250</v>
      </c>
      <c r="F582" t="inlineStr">
        <is>
          <t>JÖNKÖPINGS LÄN</t>
        </is>
      </c>
      <c r="G582" t="inlineStr">
        <is>
          <t>NÄSSJÖ</t>
        </is>
      </c>
      <c r="I582" t="n">
        <v>20.8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1950-2023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45082</v>
      </c>
      <c r="E583" s="1" t="n">
        <v>46250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2411-2023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45112</v>
      </c>
      <c r="E584" s="1" t="n">
        <v>46250</v>
      </c>
      <c r="F584" t="inlineStr">
        <is>
          <t>JÖNKÖPINGS LÄN</t>
        </is>
      </c>
      <c r="G584" t="inlineStr">
        <is>
          <t>NÄSSJÖ</t>
        </is>
      </c>
      <c r="I584" t="n">
        <v>22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654-2023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44977</v>
      </c>
      <c r="E585" s="1" t="n">
        <v>46250</v>
      </c>
      <c r="F585" t="inlineStr">
        <is>
          <t>JÖNKÖPINGS LÄN</t>
        </is>
      </c>
      <c r="G585" t="inlineStr">
        <is>
          <t>NÄSSJÖ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7883-2021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44482</v>
      </c>
      <c r="E586" s="1" t="n">
        <v>46250</v>
      </c>
      <c r="F586" t="inlineStr">
        <is>
          <t>JÖNKÖPINGS LÄN</t>
        </is>
      </c>
      <c r="G586" t="inlineStr">
        <is>
          <t>NÄSSJÖ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2269-2023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46250</v>
      </c>
      <c r="F587" t="inlineStr">
        <is>
          <t>JÖNKÖPINGS LÄN</t>
        </is>
      </c>
      <c r="G587" t="inlineStr">
        <is>
          <t>NÄSSJÖ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46250</v>
      </c>
      <c r="F588" t="inlineStr">
        <is>
          <t>JÖNKÖPINGS LÄN</t>
        </is>
      </c>
      <c r="G588" t="inlineStr">
        <is>
          <t>NÄSSJÖ</t>
        </is>
      </c>
      <c r="I588" t="n">
        <v>57.1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1262-2023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45029</v>
      </c>
      <c r="E589" s="1" t="n">
        <v>46250</v>
      </c>
      <c r="F589" t="inlineStr">
        <is>
          <t>JÖNKÖPINGS LÄN</t>
        </is>
      </c>
      <c r="G589" t="inlineStr">
        <is>
          <t>NÄSSJÖ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46250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1666-2023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45062</v>
      </c>
      <c r="E591" s="1" t="n">
        <v>46250</v>
      </c>
      <c r="F591" t="inlineStr">
        <is>
          <t>JÖNKÖPINGS LÄN</t>
        </is>
      </c>
      <c r="G591" t="inlineStr">
        <is>
          <t>NÄSSJÖ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1408-2023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46250</v>
      </c>
      <c r="F592" t="inlineStr">
        <is>
          <t>JÖNKÖPINGS LÄN</t>
        </is>
      </c>
      <c r="G592" t="inlineStr">
        <is>
          <t>NÄSSJÖ</t>
        </is>
      </c>
      <c r="H592" t="inlineStr">
        <is>
          <t>Kommuner</t>
        </is>
      </c>
      <c r="I592" t="n">
        <v>65.2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1731-2025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45809</v>
      </c>
      <c r="E593" s="1" t="n">
        <v>46250</v>
      </c>
      <c r="F593" t="inlineStr">
        <is>
          <t>JÖNKÖPINGS LÄN</t>
        </is>
      </c>
      <c r="G593" t="inlineStr">
        <is>
          <t>NÄSSJÖ</t>
        </is>
      </c>
      <c r="I593" t="n">
        <v>27.6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1699-2025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45804</v>
      </c>
      <c r="E594" s="1" t="n">
        <v>46250</v>
      </c>
      <c r="F594" t="inlineStr">
        <is>
          <t>JÖNKÖPINGS LÄN</t>
        </is>
      </c>
      <c r="G594" t="inlineStr">
        <is>
          <t>NÄSSJÖ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2024-2025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45835</v>
      </c>
      <c r="E595" s="1" t="n">
        <v>46250</v>
      </c>
      <c r="F595" t="inlineStr">
        <is>
          <t>JÖNKÖPINGS LÄN</t>
        </is>
      </c>
      <c r="G595" t="inlineStr">
        <is>
          <t>NÄSSJÖ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688-2026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46250</v>
      </c>
      <c r="F596" t="inlineStr">
        <is>
          <t>JÖNKÖPINGS LÄN</t>
        </is>
      </c>
      <c r="G596" t="inlineStr">
        <is>
          <t>NÄSSJÖ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691-2026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46250</v>
      </c>
      <c r="F597" t="inlineStr">
        <is>
          <t>JÖNKÖPINGS LÄN</t>
        </is>
      </c>
      <c r="G597" t="inlineStr">
        <is>
          <t>NÄSSJÖ</t>
        </is>
      </c>
      <c r="I597" t="n">
        <v>33.2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46150</v>
      </c>
      <c r="E598" s="1" t="n">
        <v>46250</v>
      </c>
      <c r="F598" t="inlineStr">
        <is>
          <t>JÖNKÖPINGS LÄN</t>
        </is>
      </c>
      <c r="G598" t="inlineStr">
        <is>
          <t>NÄSSJÖ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1942-2026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46209</v>
      </c>
      <c r="E599" s="1" t="n">
        <v>46250</v>
      </c>
      <c r="F599" t="inlineStr">
        <is>
          <t>JÖNKÖPINGS LÄN</t>
        </is>
      </c>
      <c r="G599" t="inlineStr">
        <is>
          <t>NÄSSJÖ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2026-08-16T01:48:24Z</dcterms:created>
  <dcterms:modified xmlns:dcterms="http://purl.org/dc/terms/" xmlns:xsi="http://www.w3.org/2001/XMLSchema-instance" xsi:type="dcterms:W3CDTF">2026-08-16T01:48:25Z</dcterms:modified>
</cp:coreProperties>
</file>