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46280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46280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46280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46280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46280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46280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46280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46280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46280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46280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46280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46280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46280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46280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Fältgentiana</t>
        </is>
      </c>
      <c r="W25">
        <f>HYPERLINK("https://klasma.github.io/Logging_0682/artfynd/A 63989-2025 artfynd.xlsx", "A 63989-2025")</f>
        <v/>
      </c>
      <c r="X25">
        <f>HYPERLINK("https://klasma.github.io/Logging_0682/kartor/A 63989-2025 karta.png", "A 63989-2025")</f>
        <v/>
      </c>
      <c r="Y25">
        <f>HYPERLINK("https://klasma.github.io/Logging_0682/kartor_geotiff/A 63989-2025 georefererad karta.tif", "A 63989-2025")</f>
        <v/>
      </c>
      <c r="AA25">
        <f>HYPERLINK("https://klasma.github.io/Logging_0682/klagomål/A 63989-2025 FSC-klagomål.docx", "A 63989-2025")</f>
        <v/>
      </c>
      <c r="AB25">
        <f>HYPERLINK("https://klasma.github.io/Logging_0682/klagomålsmail/A 63989-2025 FSC-klagomål mail.docx", "A 63989-2025")</f>
        <v/>
      </c>
      <c r="AC25">
        <f>HYPERLINK("https://klasma.github.io/Logging_0682/tillsyn/A 63989-2025 tillsynsbegäran.docx", "A 63989-2025")</f>
        <v/>
      </c>
      <c r="AD25">
        <f>HYPERLINK("https://klasma.github.io/Logging_0682/tillsynsmail/A 63989-2025 tillsynsbegäran mail.docx", "A 63989-2025")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46280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46280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46280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46280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46280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46280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250-2023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46280</v>
      </c>
      <c r="F32" t="inlineStr">
        <is>
          <t>JÖNKÖPINGS LÄN</t>
        </is>
      </c>
      <c r="G32" t="inlineStr">
        <is>
          <t>NÄSSJÖ</t>
        </is>
      </c>
      <c r="I32" t="n">
        <v>9.1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Kungsfiskare</t>
        </is>
      </c>
      <c r="W32">
        <f>HYPERLINK("https://klasma.github.io/Logging_0682/artfynd/A 250-2023 artfynd.xlsx", "A 250-2023")</f>
        <v/>
      </c>
      <c r="X32">
        <f>HYPERLINK("https://klasma.github.io/Logging_0682/kartor/A 250-2023 karta.png", "A 250-2023")</f>
        <v/>
      </c>
      <c r="Y32">
        <f>HYPERLINK("https://klasma.github.io/Logging_0682/kartor_geotiff/A 250-2023 georefererad karta.tif", "A 250-2023")</f>
        <v/>
      </c>
      <c r="AA32">
        <f>HYPERLINK("https://klasma.github.io/Logging_0682/klagomål/A 250-2023 FSC-klagomål.docx", "A 250-2023")</f>
        <v/>
      </c>
      <c r="AB32">
        <f>HYPERLINK("https://klasma.github.io/Logging_0682/klagomålsmail/A 250-2023 FSC-klagomål mail.docx", "A 250-2023")</f>
        <v/>
      </c>
      <c r="AC32">
        <f>HYPERLINK("https://klasma.github.io/Logging_0682/tillsyn/A 250-2023 tillsynsbegäran.docx", "A 250-2023")</f>
        <v/>
      </c>
      <c r="AD32">
        <f>HYPERLINK("https://klasma.github.io/Logging_0682/tillsynsmail/A 250-2023 tillsynsbegäran mail.docx", "A 250-2023")</f>
        <v/>
      </c>
    </row>
    <row r="33" ht="15" customHeight="1">
      <c r="A33" t="inlineStr">
        <is>
          <t>A 254-2023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46280</v>
      </c>
      <c r="F33" t="inlineStr">
        <is>
          <t>JÖNKÖPINGS LÄN</t>
        </is>
      </c>
      <c r="G33" t="inlineStr">
        <is>
          <t>NÄSSJÖ</t>
        </is>
      </c>
      <c r="I33" t="n">
        <v>7.7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Gulsparv</t>
        </is>
      </c>
      <c r="W33">
        <f>HYPERLINK("https://klasma.github.io/Logging_0682/artfynd/A 254-2023 artfynd.xlsx", "A 254-2023")</f>
        <v/>
      </c>
      <c r="X33">
        <f>HYPERLINK("https://klasma.github.io/Logging_0682/kartor/A 254-2023 karta.png", "A 254-2023")</f>
        <v/>
      </c>
      <c r="Y33">
        <f>HYPERLINK("https://klasma.github.io/Logging_0682/kartor_geotiff/A 254-2023 georefererad karta.tif", "A 254-2023")</f>
        <v/>
      </c>
      <c r="AA33">
        <f>HYPERLINK("https://klasma.github.io/Logging_0682/klagomål/A 254-2023 FSC-klagomål.docx", "A 254-2023")</f>
        <v/>
      </c>
      <c r="AB33">
        <f>HYPERLINK("https://klasma.github.io/Logging_0682/klagomålsmail/A 254-2023 FSC-klagomål mail.docx", "A 254-2023")</f>
        <v/>
      </c>
      <c r="AC33">
        <f>HYPERLINK("https://klasma.github.io/Logging_0682/tillsyn/A 254-2023 tillsynsbegäran.docx", "A 254-2023")</f>
        <v/>
      </c>
      <c r="AD33">
        <f>HYPERLINK("https://klasma.github.io/Logging_0682/tillsynsmail/A 254-2023 tillsynsbegäran mail.docx", "A 254-2023")</f>
        <v/>
      </c>
      <c r="AE33">
        <f>HYPERLINK("https://klasma.github.io/Logging_0682/fåglar/A 254-2023 prioriterade fågelarter.docx", "A 254-2023")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46280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46280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HYPERLINK("https://klasma.github.io/Logging_0682/artfynd/A 50120-2025 artfynd.xlsx", "A 50120-2025")</f>
        <v/>
      </c>
      <c r="X35">
        <f>HYPERLINK("https://klasma.github.io/Logging_0682/kartor/A 50120-2025 karta.png", "A 50120-2025")</f>
        <v/>
      </c>
      <c r="Y35">
        <f>HYPERLINK("https://klasma.github.io/Logging_0682/kartor_geotiff/A 50120-2025 georefererad karta.tif", "A 50120-2025")</f>
        <v/>
      </c>
      <c r="AA35">
        <f>HYPERLINK("https://klasma.github.io/Logging_0682/klagomål/A 50120-2025 FSC-klagomål.docx", "A 50120-2025")</f>
        <v/>
      </c>
      <c r="AB35">
        <f>HYPERLINK("https://klasma.github.io/Logging_0682/klagomålsmail/A 50120-2025 FSC-klagomål mail.docx", "A 50120-2025")</f>
        <v/>
      </c>
      <c r="AC35">
        <f>HYPERLINK("https://klasma.github.io/Logging_0682/tillsyn/A 50120-2025 tillsynsbegäran.docx", "A 50120-2025")</f>
        <v/>
      </c>
      <c r="AD35">
        <f>HYPERLINK("https://klasma.github.io/Logging_0682/tillsynsmail/A 50120-2025 tillsynsbegäran mail.docx", "A 50120-2025")</f>
        <v/>
      </c>
    </row>
    <row r="36" ht="15" customHeight="1">
      <c r="A36" t="inlineStr">
        <is>
          <t>A 15048-2026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46280</v>
      </c>
      <c r="F36" t="inlineStr">
        <is>
          <t>JÖNKÖPINGS LÄN</t>
        </is>
      </c>
      <c r="G36" t="inlineStr">
        <is>
          <t>NÄSSJÖ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15048-2026 artfynd.xlsx", "A 15048-2026")</f>
        <v/>
      </c>
      <c r="X36">
        <f>HYPERLINK("https://klasma.github.io/Logging_0682/kartor/A 15048-2026 karta.png", "A 15048-2026")</f>
        <v/>
      </c>
      <c r="Y36">
        <f>HYPERLINK("https://klasma.github.io/Logging_0682/kartor_geotiff/A 15048-2026 georefererad karta.tif", "A 15048-2026")</f>
        <v/>
      </c>
      <c r="AA36">
        <f>HYPERLINK("https://klasma.github.io/Logging_0682/klagomål/A 15048-2026 FSC-klagomål.docx", "A 15048-2026")</f>
        <v/>
      </c>
      <c r="AB36">
        <f>HYPERLINK("https://klasma.github.io/Logging_0682/klagomålsmail/A 15048-2026 FSC-klagomål mail.docx", "A 15048-2026")</f>
        <v/>
      </c>
      <c r="AC36">
        <f>HYPERLINK("https://klasma.github.io/Logging_0682/tillsyn/A 15048-2026 tillsynsbegäran.docx", "A 15048-2026")</f>
        <v/>
      </c>
      <c r="AD36">
        <f>HYPERLINK("https://klasma.github.io/Logging_0682/tillsynsmail/A 15048-2026 tillsynsbegäran mail.docx", "A 15048-2026")</f>
        <v/>
      </c>
    </row>
    <row r="37" ht="15" customHeight="1">
      <c r="A37" t="inlineStr">
        <is>
          <t>A 15845-2026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46280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15845-2026 artfynd.xlsx", "A 15845-2026")</f>
        <v/>
      </c>
      <c r="X37">
        <f>HYPERLINK("https://klasma.github.io/Logging_0682/kartor/A 15845-2026 karta.png", "A 15845-2026")</f>
        <v/>
      </c>
      <c r="Y37">
        <f>HYPERLINK("https://klasma.github.io/Logging_0682/kartor_geotiff/A 15845-2026 georefererad karta.tif", "A 15845-2026")</f>
        <v/>
      </c>
      <c r="AA37">
        <f>HYPERLINK("https://klasma.github.io/Logging_0682/klagomål/A 15845-2026 FSC-klagomål.docx", "A 15845-2026")</f>
        <v/>
      </c>
      <c r="AB37">
        <f>HYPERLINK("https://klasma.github.io/Logging_0682/klagomålsmail/A 15845-2026 FSC-klagomål mail.docx", "A 15845-2026")</f>
        <v/>
      </c>
      <c r="AC37">
        <f>HYPERLINK("https://klasma.github.io/Logging_0682/tillsyn/A 15845-2026 tillsynsbegäran.docx", "A 15845-2026")</f>
        <v/>
      </c>
      <c r="AD37">
        <f>HYPERLINK("https://klasma.github.io/Logging_0682/tillsynsmail/A 15845-2026 tillsynsbegäran mail.docx", "A 15845-2026")</f>
        <v/>
      </c>
      <c r="AE37">
        <f>HYPERLINK("https://klasma.github.io/Logging_0682/fåglar/A 15845-2026 prioriterade fågelarter.docx", "A 15845-2026")</f>
        <v/>
      </c>
    </row>
    <row r="38" ht="15" customHeight="1">
      <c r="A38" t="inlineStr">
        <is>
          <t>A 18844-2026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46129</v>
      </c>
      <c r="E38" s="1" t="n">
        <v>46280</v>
      </c>
      <c r="F38" t="inlineStr">
        <is>
          <t>JÖNKÖPINGS LÄN</t>
        </is>
      </c>
      <c r="G38" t="inlineStr">
        <is>
          <t>NÄSSJÖ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18844-2026 artfynd.xlsx", "A 18844-2026")</f>
        <v/>
      </c>
      <c r="X38">
        <f>HYPERLINK("https://klasma.github.io/Logging_0682/kartor/A 18844-2026 karta.png", "A 18844-2026")</f>
        <v/>
      </c>
      <c r="Y38">
        <f>HYPERLINK("https://klasma.github.io/Logging_0682/kartor_geotiff/A 18844-2026 georefererad karta.tif", "A 18844-2026")</f>
        <v/>
      </c>
      <c r="AA38">
        <f>HYPERLINK("https://klasma.github.io/Logging_0682/klagomål/A 18844-2026 FSC-klagomål.docx", "A 18844-2026")</f>
        <v/>
      </c>
      <c r="AB38">
        <f>HYPERLINK("https://klasma.github.io/Logging_0682/klagomålsmail/A 18844-2026 FSC-klagomål mail.docx", "A 18844-2026")</f>
        <v/>
      </c>
      <c r="AC38">
        <f>HYPERLINK("https://klasma.github.io/Logging_0682/tillsyn/A 18844-2026 tillsynsbegäran.docx", "A 18844-2026")</f>
        <v/>
      </c>
      <c r="AD38">
        <f>HYPERLINK("https://klasma.github.io/Logging_0682/tillsynsmail/A 18844-2026 tillsynsbegäran mail.docx", "A 18844-2026")</f>
        <v/>
      </c>
    </row>
    <row r="39" ht="15" customHeight="1">
      <c r="A39" t="inlineStr">
        <is>
          <t>A 41327-2025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45899</v>
      </c>
      <c r="E39" s="1" t="n">
        <v>46280</v>
      </c>
      <c r="F39" t="inlineStr">
        <is>
          <t>JÖNKÖPINGS LÄN</t>
        </is>
      </c>
      <c r="G39" t="inlineStr">
        <is>
          <t>NÄSSJÖ</t>
        </is>
      </c>
      <c r="I39" t="n">
        <v>5.6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41327-2025 artfynd.xlsx", "A 41327-2025")</f>
        <v/>
      </c>
      <c r="X39">
        <f>HYPERLINK("https://klasma.github.io/Logging_0682/kartor/A 41327-2025 karta.png", "A 41327-2025")</f>
        <v/>
      </c>
      <c r="Y39">
        <f>HYPERLINK("https://klasma.github.io/Logging_0682/kartor_geotiff/A 41327-2025 georefererad karta.tif", "A 41327-2025")</f>
        <v/>
      </c>
      <c r="AA39">
        <f>HYPERLINK("https://klasma.github.io/Logging_0682/klagomål/A 41327-2025 FSC-klagomål.docx", "A 41327-2025")</f>
        <v/>
      </c>
      <c r="AB39">
        <f>HYPERLINK("https://klasma.github.io/Logging_0682/klagomålsmail/A 41327-2025 FSC-klagomål mail.docx", "A 41327-2025")</f>
        <v/>
      </c>
      <c r="AC39">
        <f>HYPERLINK("https://klasma.github.io/Logging_0682/tillsyn/A 41327-2025 tillsynsbegäran.docx", "A 41327-2025")</f>
        <v/>
      </c>
      <c r="AD39">
        <f>HYPERLINK("https://klasma.github.io/Logging_0682/tillsynsmail/A 41327-2025 tillsynsbegäran mail.docx", "A 41327-2025")</f>
        <v/>
      </c>
      <c r="AE39">
        <f>HYPERLINK("https://klasma.github.io/Logging_0682/fåglar/A 41327-2025 prioriterade fågelarter.docx", "A 41327-2025")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46280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46280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46451-2022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46280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Sälg</t>
        </is>
      </c>
      <c r="W42">
        <f>HYPERLINK("https://klasma.github.io/Logging_0682/artfynd/A 46451-2022 artfynd.xlsx", "A 46451-2022")</f>
        <v/>
      </c>
      <c r="X42">
        <f>HYPERLINK("https://klasma.github.io/Logging_0682/kartor/A 46451-2022 karta.png", "A 46451-2022")</f>
        <v/>
      </c>
      <c r="Y42">
        <f>HYPERLINK("https://klasma.github.io/Logging_0682/kartor_geotiff/A 46451-2022 georefererad karta.tif", "A 46451-2022")</f>
        <v/>
      </c>
      <c r="AA42">
        <f>HYPERLINK("https://klasma.github.io/Logging_0682/klagomål/A 46451-2022 FSC-klagomål.docx", "A 46451-2022")</f>
        <v/>
      </c>
      <c r="AB42">
        <f>HYPERLINK("https://klasma.github.io/Logging_0682/klagomålsmail/A 46451-2022 FSC-klagomål mail.docx", "A 46451-2022")</f>
        <v/>
      </c>
      <c r="AC42">
        <f>HYPERLINK("https://klasma.github.io/Logging_0682/tillsyn/A 46451-2022 tillsynsbegäran.docx", "A 46451-2022")</f>
        <v/>
      </c>
      <c r="AD42">
        <f>HYPERLINK("https://klasma.github.io/Logging_0682/tillsynsmail/A 46451-2022 tillsynsbegäran mail.docx", "A 46451-2022")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46280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60892-2024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46280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60892-2024 artfynd.xlsx", "A 60892-2024")</f>
        <v/>
      </c>
      <c r="X44">
        <f>HYPERLINK("https://klasma.github.io/Logging_0682/kartor/A 60892-2024 karta.png", "A 60892-2024")</f>
        <v/>
      </c>
      <c r="Y44">
        <f>HYPERLINK("https://klasma.github.io/Logging_0682/kartor_geotiff/A 60892-2024 georefererad karta.tif", "A 60892-2024")</f>
        <v/>
      </c>
      <c r="AA44">
        <f>HYPERLINK("https://klasma.github.io/Logging_0682/klagomål/A 60892-2024 FSC-klagomål.docx", "A 60892-2024")</f>
        <v/>
      </c>
      <c r="AB44">
        <f>HYPERLINK("https://klasma.github.io/Logging_0682/klagomålsmail/A 60892-2024 FSC-klagomål mail.docx", "A 60892-2024")</f>
        <v/>
      </c>
      <c r="AC44">
        <f>HYPERLINK("https://klasma.github.io/Logging_0682/tillsyn/A 60892-2024 tillsynsbegäran.docx", "A 60892-2024")</f>
        <v/>
      </c>
      <c r="AD44">
        <f>HYPERLINK("https://klasma.github.io/Logging_0682/tillsynsmail/A 60892-2024 tillsynsbegäran mail.docx", "A 60892-2024")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46280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46280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55860-2022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46280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19</v>
      </c>
      <c r="U47" t="n">
        <v>0</v>
      </c>
      <c r="V47" s="2" t="inlineStr">
        <is>
          <t>Knärot</t>
        </is>
      </c>
      <c r="W47">
        <f>HYPERLINK("https://klasma.github.io/Logging_0682/artfynd/A 55860-2022 artfynd.xlsx", "A 55860-2022")</f>
        <v/>
      </c>
      <c r="X47">
        <f>HYPERLINK("https://klasma.github.io/Logging_0682/kartor/A 55860-2022 karta.png", "A 55860-2022")</f>
        <v/>
      </c>
      <c r="Y47">
        <f>HYPERLINK("https://klasma.github.io/Logging_0682/kartor_geotiff/A 55860-2022 georefererad karta.tif", "A 55860-2022")</f>
        <v/>
      </c>
      <c r="Z47">
        <f>HYPERLINK("https://klasma.github.io/Logging_0682/knärot/A 55860-2022 karta knärot.png", "A 55860-2022")</f>
        <v/>
      </c>
      <c r="AA47">
        <f>HYPERLINK("https://klasma.github.io/Logging_0682/klagomål/A 55860-2022 FSC-klagomål.docx", "A 55860-2022")</f>
        <v/>
      </c>
      <c r="AB47">
        <f>HYPERLINK("https://klasma.github.io/Logging_0682/klagomålsmail/A 55860-2022 FSC-klagomål mail.docx", "A 55860-2022")</f>
        <v/>
      </c>
      <c r="AC47">
        <f>HYPERLINK("https://klasma.github.io/Logging_0682/tillsyn/A 55860-2022 tillsynsbegäran.docx", "A 55860-2022")</f>
        <v/>
      </c>
      <c r="AD47">
        <f>HYPERLINK("https://klasma.github.io/Logging_0682/tillsynsmail/A 55860-2022 tillsynsbegäran mail.docx", "A 55860-2022")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46280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HYPERLINK("https://klasma.github.io/Logging_0682/artfynd/A 35328-2024 artfynd.xlsx", "A 35328-2024")</f>
        <v/>
      </c>
      <c r="X48">
        <f>HYPERLINK("https://klasma.github.io/Logging_0682/kartor/A 35328-2024 karta.png", "A 35328-2024")</f>
        <v/>
      </c>
      <c r="Y48">
        <f>HYPERLINK("https://klasma.github.io/Logging_0682/kartor_geotiff/A 35328-2024 georefererad karta.tif", "A 35328-2024")</f>
        <v/>
      </c>
      <c r="AA48">
        <f>HYPERLINK("https://klasma.github.io/Logging_0682/klagomål/A 35328-2024 FSC-klagomål.docx", "A 35328-2024")</f>
        <v/>
      </c>
      <c r="AB48">
        <f>HYPERLINK("https://klasma.github.io/Logging_0682/klagomålsmail/A 35328-2024 FSC-klagomål mail.docx", "A 35328-2024")</f>
        <v/>
      </c>
      <c r="AC48">
        <f>HYPERLINK("https://klasma.github.io/Logging_0682/tillsyn/A 35328-2024 tillsynsbegäran.docx", "A 35328-2024")</f>
        <v/>
      </c>
      <c r="AD48">
        <f>HYPERLINK("https://klasma.github.io/Logging_0682/tillsynsmail/A 35328-2024 tillsynsbegäran mail.docx", "A 35328-2024")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46280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46280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46280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46280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46280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46280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46280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46280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46280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46280</v>
      </c>
      <c r="F62" t="inlineStr">
        <is>
          <t>JÖNKÖPINGS LÄN</t>
        </is>
      </c>
      <c r="G62" t="inlineStr">
        <is>
          <t>NÄSSJÖ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46280</v>
      </c>
      <c r="F63" t="inlineStr">
        <is>
          <t>JÖNKÖPINGS LÄN</t>
        </is>
      </c>
      <c r="G63" t="inlineStr">
        <is>
          <t>NÄSSJÖ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46280</v>
      </c>
      <c r="F64" t="inlineStr">
        <is>
          <t>JÖNKÖPINGS LÄN</t>
        </is>
      </c>
      <c r="G64" t="inlineStr">
        <is>
          <t>NÄSSJÖ</t>
        </is>
      </c>
      <c r="H64" t="inlineStr">
        <is>
          <t>Kommuner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46280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46280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46280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46280</v>
      </c>
      <c r="F68" t="inlineStr">
        <is>
          <t>JÖNKÖPINGS LÄN</t>
        </is>
      </c>
      <c r="G68" t="inlineStr">
        <is>
          <t>NÄSSJÖ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46280</v>
      </c>
      <c r="F69" t="inlineStr">
        <is>
          <t>JÖNKÖPINGS LÄN</t>
        </is>
      </c>
      <c r="G69" t="inlineStr">
        <is>
          <t>NÄSSJÖ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46280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46280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46280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44463</v>
      </c>
      <c r="E73" s="1" t="n">
        <v>46280</v>
      </c>
      <c r="F73" t="inlineStr">
        <is>
          <t>JÖNKÖPINGS LÄN</t>
        </is>
      </c>
      <c r="G73" t="inlineStr">
        <is>
          <t>NÄSSJÖ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46280</v>
      </c>
      <c r="F74" t="inlineStr">
        <is>
          <t>JÖNKÖPINGS LÄN</t>
        </is>
      </c>
      <c r="G74" t="inlineStr">
        <is>
          <t>NÄSSJÖ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8540-2022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44613</v>
      </c>
      <c r="E75" s="1" t="n">
        <v>46280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24641-2022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46280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44844</v>
      </c>
      <c r="E77" s="1" t="n">
        <v>46280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71609-2021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44541</v>
      </c>
      <c r="E78" s="1" t="n">
        <v>46280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46280</v>
      </c>
      <c r="F79" t="inlineStr">
        <is>
          <t>JÖNKÖPINGS LÄN</t>
        </is>
      </c>
      <c r="G79" t="inlineStr">
        <is>
          <t>NÄSSJÖ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43545-2022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44837</v>
      </c>
      <c r="E80" s="1" t="n">
        <v>46280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46280</v>
      </c>
      <c r="F81" t="inlineStr">
        <is>
          <t>JÖNKÖPINGS LÄN</t>
        </is>
      </c>
      <c r="G81" t="inlineStr">
        <is>
          <t>NÄSSJÖ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46280</v>
      </c>
      <c r="F82" t="inlineStr">
        <is>
          <t>JÖNKÖPINGS LÄN</t>
        </is>
      </c>
      <c r="G82" t="inlineStr">
        <is>
          <t>NÄSSJÖ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46280</v>
      </c>
      <c r="F83" t="inlineStr">
        <is>
          <t>JÖNKÖPINGS LÄN</t>
        </is>
      </c>
      <c r="G83" t="inlineStr">
        <is>
          <t>NÄSSJÖ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44519</v>
      </c>
      <c r="E84" s="1" t="n">
        <v>46280</v>
      </c>
      <c r="F84" t="inlineStr">
        <is>
          <t>JÖNKÖPINGS LÄN</t>
        </is>
      </c>
      <c r="G84" t="inlineStr">
        <is>
          <t>NÄSSJÖ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46280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20945-2022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44701</v>
      </c>
      <c r="E86" s="1" t="n">
        <v>46280</v>
      </c>
      <c r="F86" t="inlineStr">
        <is>
          <t>JÖNKÖPINGS LÄN</t>
        </is>
      </c>
      <c r="G86" t="inlineStr">
        <is>
          <t>NÄSSJÖ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46280</v>
      </c>
      <c r="F87" t="inlineStr">
        <is>
          <t>JÖNKÖPINGS LÄN</t>
        </is>
      </c>
      <c r="G87" t="inlineStr">
        <is>
          <t>NÄSSJÖ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46280</v>
      </c>
      <c r="F88" t="inlineStr">
        <is>
          <t>JÖNKÖPINGS LÄN</t>
        </is>
      </c>
      <c r="G88" t="inlineStr">
        <is>
          <t>NÄSSJÖ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23549-2022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44721</v>
      </c>
      <c r="E89" s="1" t="n">
        <v>46280</v>
      </c>
      <c r="F89" t="inlineStr">
        <is>
          <t>JÖNKÖPINGS LÄN</t>
        </is>
      </c>
      <c r="G89" t="inlineStr">
        <is>
          <t>NÄSSJÖ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46280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46280</v>
      </c>
      <c r="F91" t="inlineStr">
        <is>
          <t>JÖNKÖPINGS LÄN</t>
        </is>
      </c>
      <c r="G91" t="inlineStr">
        <is>
          <t>NÄSSJÖ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46280</v>
      </c>
      <c r="F92" t="inlineStr">
        <is>
          <t>JÖNKÖPINGS LÄN</t>
        </is>
      </c>
      <c r="G92" t="inlineStr">
        <is>
          <t>NÄSSJÖ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44678</v>
      </c>
      <c r="E93" s="1" t="n">
        <v>46280</v>
      </c>
      <c r="F93" t="inlineStr">
        <is>
          <t>JÖNKÖPINGS LÄN</t>
        </is>
      </c>
      <c r="G93" t="inlineStr">
        <is>
          <t>NÄSSJÖ</t>
        </is>
      </c>
      <c r="I93" t="n">
        <v>12.9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46280</v>
      </c>
      <c r="F94" t="inlineStr">
        <is>
          <t>JÖNKÖPINGS LÄN</t>
        </is>
      </c>
      <c r="G94" t="inlineStr">
        <is>
          <t>NÄSSJÖ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46280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46280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46280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46280</v>
      </c>
      <c r="F98" t="inlineStr">
        <is>
          <t>JÖNKÖPINGS LÄN</t>
        </is>
      </c>
      <c r="G98" t="inlineStr">
        <is>
          <t>NÄSSJÖ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14037-2022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44650</v>
      </c>
      <c r="E99" s="1" t="n">
        <v>46280</v>
      </c>
      <c r="F99" t="inlineStr">
        <is>
          <t>JÖNKÖPINGS LÄN</t>
        </is>
      </c>
      <c r="G99" t="inlineStr">
        <is>
          <t>NÄSSJÖ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44568</v>
      </c>
      <c r="E100" s="1" t="n">
        <v>46280</v>
      </c>
      <c r="F100" t="inlineStr">
        <is>
          <t>JÖNKÖPINGS LÄN</t>
        </is>
      </c>
      <c r="G100" t="inlineStr">
        <is>
          <t>NÄSSJÖ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46280</v>
      </c>
      <c r="F101" t="inlineStr">
        <is>
          <t>JÖNKÖPINGS LÄN</t>
        </is>
      </c>
      <c r="G101" t="inlineStr">
        <is>
          <t>NÄSSJÖ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45454</v>
      </c>
      <c r="E102" s="1" t="n">
        <v>46280</v>
      </c>
      <c r="F102" t="inlineStr">
        <is>
          <t>JÖNKÖPINGS LÄN</t>
        </is>
      </c>
      <c r="G102" t="inlineStr">
        <is>
          <t>NÄSSJÖ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46280</v>
      </c>
      <c r="F103" t="inlineStr">
        <is>
          <t>JÖNKÖPINGS LÄN</t>
        </is>
      </c>
      <c r="G103" t="inlineStr">
        <is>
          <t>NÄSSJÖ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46280</v>
      </c>
      <c r="F104" t="inlineStr">
        <is>
          <t>JÖNKÖPINGS LÄN</t>
        </is>
      </c>
      <c r="G104" t="inlineStr">
        <is>
          <t>NÄSSJÖ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46280</v>
      </c>
      <c r="F105" t="inlineStr">
        <is>
          <t>JÖNKÖPINGS LÄN</t>
        </is>
      </c>
      <c r="G105" t="inlineStr">
        <is>
          <t>NÄSSJÖ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46280</v>
      </c>
      <c r="F106" t="inlineStr">
        <is>
          <t>JÖNKÖPINGS LÄN</t>
        </is>
      </c>
      <c r="G106" t="inlineStr">
        <is>
          <t>NÄSSJÖ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46280</v>
      </c>
      <c r="F107" t="inlineStr">
        <is>
          <t>JÖNKÖPINGS LÄN</t>
        </is>
      </c>
      <c r="G107" t="inlineStr">
        <is>
          <t>NÄSSJÖ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46280</v>
      </c>
      <c r="F108" t="inlineStr">
        <is>
          <t>JÖNKÖPINGS LÄN</t>
        </is>
      </c>
      <c r="G108" t="inlineStr">
        <is>
          <t>NÄSSJÖ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46280</v>
      </c>
      <c r="F109" t="inlineStr">
        <is>
          <t>JÖNKÖPINGS LÄN</t>
        </is>
      </c>
      <c r="G109" t="inlineStr">
        <is>
          <t>NÄSSJÖ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49880-2023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45213</v>
      </c>
      <c r="E110" s="1" t="n">
        <v>46280</v>
      </c>
      <c r="F110" t="inlineStr">
        <is>
          <t>JÖNKÖPINGS LÄN</t>
        </is>
      </c>
      <c r="G110" t="inlineStr">
        <is>
          <t>NÄSSJÖ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44972</v>
      </c>
      <c r="E111" s="1" t="n">
        <v>46280</v>
      </c>
      <c r="F111" t="inlineStr">
        <is>
          <t>JÖNKÖPINGS LÄN</t>
        </is>
      </c>
      <c r="G111" t="inlineStr">
        <is>
          <t>NÄSSJÖ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10436-2025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45720</v>
      </c>
      <c r="E112" s="1" t="n">
        <v>46280</v>
      </c>
      <c r="F112" t="inlineStr">
        <is>
          <t>JÖNKÖPINGS LÄN</t>
        </is>
      </c>
      <c r="G112" t="inlineStr">
        <is>
          <t>NÄSSJÖ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45302</v>
      </c>
      <c r="E113" s="1" t="n">
        <v>46280</v>
      </c>
      <c r="F113" t="inlineStr">
        <is>
          <t>JÖNKÖPINGS LÄN</t>
        </is>
      </c>
      <c r="G113" t="inlineStr">
        <is>
          <t>NÄSSJÖ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51136-2023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45219</v>
      </c>
      <c r="E114" s="1" t="n">
        <v>46280</v>
      </c>
      <c r="F114" t="inlineStr">
        <is>
          <t>JÖNKÖPINGS LÄN</t>
        </is>
      </c>
      <c r="G114" t="inlineStr">
        <is>
          <t>NÄSSJÖ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45704</v>
      </c>
      <c r="E115" s="1" t="n">
        <v>46280</v>
      </c>
      <c r="F115" t="inlineStr">
        <is>
          <t>JÖNKÖPINGS LÄN</t>
        </is>
      </c>
      <c r="G115" t="inlineStr">
        <is>
          <t>NÄSSJÖ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46280</v>
      </c>
      <c r="F116" t="inlineStr">
        <is>
          <t>JÖNKÖPINGS LÄN</t>
        </is>
      </c>
      <c r="G116" t="inlineStr">
        <is>
          <t>NÄSSJÖ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46280</v>
      </c>
      <c r="F117" t="inlineStr">
        <is>
          <t>JÖNKÖPINGS LÄN</t>
        </is>
      </c>
      <c r="G117" t="inlineStr">
        <is>
          <t>NÄSSJÖ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45031</v>
      </c>
      <c r="E118" s="1" t="n">
        <v>46280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45277</v>
      </c>
      <c r="E119" s="1" t="n">
        <v>46280</v>
      </c>
      <c r="F119" t="inlineStr">
        <is>
          <t>JÖNKÖPINGS LÄN</t>
        </is>
      </c>
      <c r="G119" t="inlineStr">
        <is>
          <t>NÄSSJÖ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45166</v>
      </c>
      <c r="E120" s="1" t="n">
        <v>46280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44867</v>
      </c>
      <c r="E121" s="1" t="n">
        <v>46280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46280</v>
      </c>
      <c r="F122" t="inlineStr">
        <is>
          <t>JÖNKÖPINGS LÄN</t>
        </is>
      </c>
      <c r="G122" t="inlineStr">
        <is>
          <t>NÄSSJÖ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45380</v>
      </c>
      <c r="E123" s="1" t="n">
        <v>46280</v>
      </c>
      <c r="F123" t="inlineStr">
        <is>
          <t>JÖNKÖPINGS LÄN</t>
        </is>
      </c>
      <c r="G123" t="inlineStr">
        <is>
          <t>NÄSSJÖ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46280</v>
      </c>
      <c r="F124" t="inlineStr">
        <is>
          <t>JÖNKÖPINGS LÄN</t>
        </is>
      </c>
      <c r="G124" t="inlineStr">
        <is>
          <t>NÄSSJÖ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46280</v>
      </c>
      <c r="F125" t="inlineStr">
        <is>
          <t>JÖNKÖPINGS LÄN</t>
        </is>
      </c>
      <c r="G125" t="inlineStr">
        <is>
          <t>NÄSSJÖ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46280</v>
      </c>
      <c r="F126" t="inlineStr">
        <is>
          <t>JÖNKÖPINGS LÄN</t>
        </is>
      </c>
      <c r="G126" t="inlineStr">
        <is>
          <t>NÄSSJÖ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46280</v>
      </c>
      <c r="F127" t="inlineStr">
        <is>
          <t>JÖNKÖPINGS LÄN</t>
        </is>
      </c>
      <c r="G127" t="inlineStr">
        <is>
          <t>NÄSSJÖ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46280</v>
      </c>
      <c r="F128" t="inlineStr">
        <is>
          <t>JÖNKÖPINGS LÄN</t>
        </is>
      </c>
      <c r="G128" t="inlineStr">
        <is>
          <t>NÄSSJÖ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46280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46280</v>
      </c>
      <c r="F130" t="inlineStr">
        <is>
          <t>JÖNKÖPINGS LÄN</t>
        </is>
      </c>
      <c r="G130" t="inlineStr">
        <is>
          <t>NÄSSJÖ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45795</v>
      </c>
      <c r="E131" s="1" t="n">
        <v>46280</v>
      </c>
      <c r="F131" t="inlineStr">
        <is>
          <t>JÖNKÖPINGS LÄN</t>
        </is>
      </c>
      <c r="G131" t="inlineStr">
        <is>
          <t>NÄSSJÖ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31172-2024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45503</v>
      </c>
      <c r="E132" s="1" t="n">
        <v>46280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45260</v>
      </c>
      <c r="E133" s="1" t="n">
        <v>46280</v>
      </c>
      <c r="F133" t="inlineStr">
        <is>
          <t>JÖNKÖPINGS LÄN</t>
        </is>
      </c>
      <c r="G133" t="inlineStr">
        <is>
          <t>NÄSSJÖ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45795</v>
      </c>
      <c r="E134" s="1" t="n">
        <v>46280</v>
      </c>
      <c r="F134" t="inlineStr">
        <is>
          <t>JÖNKÖPINGS LÄN</t>
        </is>
      </c>
      <c r="G134" t="inlineStr">
        <is>
          <t>NÄSSJÖ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46280</v>
      </c>
      <c r="F135" t="inlineStr">
        <is>
          <t>JÖNKÖPINGS LÄN</t>
        </is>
      </c>
      <c r="G135" t="inlineStr">
        <is>
          <t>NÄSSJÖ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46280</v>
      </c>
      <c r="F136" t="inlineStr">
        <is>
          <t>JÖNKÖPINGS LÄN</t>
        </is>
      </c>
      <c r="G136" t="inlineStr">
        <is>
          <t>NÄSSJÖ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46280</v>
      </c>
      <c r="F137" t="inlineStr">
        <is>
          <t>JÖNKÖPINGS LÄN</t>
        </is>
      </c>
      <c r="G137" t="inlineStr">
        <is>
          <t>NÄSSJÖ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46280</v>
      </c>
      <c r="F138" t="inlineStr">
        <is>
          <t>JÖNKÖPINGS LÄN</t>
        </is>
      </c>
      <c r="G138" t="inlineStr">
        <is>
          <t>NÄSSJÖ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46280</v>
      </c>
      <c r="F139" t="inlineStr">
        <is>
          <t>JÖNKÖPINGS LÄN</t>
        </is>
      </c>
      <c r="G139" t="inlineStr">
        <is>
          <t>NÄSSJÖ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45723</v>
      </c>
      <c r="E140" s="1" t="n">
        <v>46280</v>
      </c>
      <c r="F140" t="inlineStr">
        <is>
          <t>JÖNKÖPINGS LÄN</t>
        </is>
      </c>
      <c r="G140" t="inlineStr">
        <is>
          <t>NÄSSJÖ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46280</v>
      </c>
      <c r="F141" t="inlineStr">
        <is>
          <t>JÖNKÖPINGS LÄN</t>
        </is>
      </c>
      <c r="G141" t="inlineStr">
        <is>
          <t>NÄSSJÖ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46280</v>
      </c>
      <c r="F142" t="inlineStr">
        <is>
          <t>JÖNKÖPINGS LÄN</t>
        </is>
      </c>
      <c r="G142" t="inlineStr">
        <is>
          <t>NÄSSJÖ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46280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44945</v>
      </c>
      <c r="E144" s="1" t="n">
        <v>46280</v>
      </c>
      <c r="F144" t="inlineStr">
        <is>
          <t>JÖNKÖPINGS LÄN</t>
        </is>
      </c>
      <c r="G144" t="inlineStr">
        <is>
          <t>NÄSSJÖ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46280</v>
      </c>
      <c r="F145" t="inlineStr">
        <is>
          <t>JÖNKÖPINGS LÄN</t>
        </is>
      </c>
      <c r="G145" t="inlineStr">
        <is>
          <t>NÄSSJÖ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59167-2024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45637</v>
      </c>
      <c r="E146" s="1" t="n">
        <v>46280</v>
      </c>
      <c r="F146" t="inlineStr">
        <is>
          <t>JÖNKÖPINGS LÄN</t>
        </is>
      </c>
      <c r="G146" t="inlineStr">
        <is>
          <t>NÄSSJÖ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46280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35811-2023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45148</v>
      </c>
      <c r="E148" s="1" t="n">
        <v>46280</v>
      </c>
      <c r="F148" t="inlineStr">
        <is>
          <t>JÖNKÖPINGS LÄN</t>
        </is>
      </c>
      <c r="G148" t="inlineStr">
        <is>
          <t>NÄSSJÖ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45259</v>
      </c>
      <c r="E149" s="1" t="n">
        <v>46280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46280</v>
      </c>
      <c r="F150" t="inlineStr">
        <is>
          <t>JÖNKÖPINGS LÄN</t>
        </is>
      </c>
      <c r="G150" t="inlineStr">
        <is>
          <t>NÄSSJÖ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46280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46280</v>
      </c>
      <c r="F152" t="inlineStr">
        <is>
          <t>JÖNKÖPINGS LÄN</t>
        </is>
      </c>
      <c r="G152" t="inlineStr">
        <is>
          <t>NÄSSJÖ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46280</v>
      </c>
      <c r="F153" t="inlineStr">
        <is>
          <t>JÖNKÖPINGS LÄN</t>
        </is>
      </c>
      <c r="G153" t="inlineStr">
        <is>
          <t>NÄSSJÖ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39555-2025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45890</v>
      </c>
      <c r="E154" s="1" t="n">
        <v>46280</v>
      </c>
      <c r="F154" t="inlineStr">
        <is>
          <t>JÖNKÖPINGS LÄN</t>
        </is>
      </c>
      <c r="G154" t="inlineStr">
        <is>
          <t>NÄSSJÖ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46280</v>
      </c>
      <c r="F155" t="inlineStr">
        <is>
          <t>JÖNKÖPINGS LÄN</t>
        </is>
      </c>
      <c r="G155" t="inlineStr">
        <is>
          <t>NÄSSJÖ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45892</v>
      </c>
      <c r="E156" s="1" t="n">
        <v>46280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46280</v>
      </c>
      <c r="F157" t="inlineStr">
        <is>
          <t>JÖNKÖPINGS LÄN</t>
        </is>
      </c>
      <c r="G157" t="inlineStr">
        <is>
          <t>NÄSSJÖ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46280</v>
      </c>
      <c r="F158" t="inlineStr">
        <is>
          <t>JÖNKÖPINGS LÄN</t>
        </is>
      </c>
      <c r="G158" t="inlineStr">
        <is>
          <t>NÄSSJÖ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46280</v>
      </c>
      <c r="F159" t="inlineStr">
        <is>
          <t>JÖNKÖPINGS LÄN</t>
        </is>
      </c>
      <c r="G159" t="inlineStr">
        <is>
          <t>NÄSSJÖ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45899</v>
      </c>
      <c r="E160" s="1" t="n">
        <v>46280</v>
      </c>
      <c r="F160" t="inlineStr">
        <is>
          <t>JÖNKÖPINGS LÄN</t>
        </is>
      </c>
      <c r="G160" t="inlineStr">
        <is>
          <t>NÄSSJÖ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46280</v>
      </c>
      <c r="F161" t="inlineStr">
        <is>
          <t>JÖNKÖPINGS LÄN</t>
        </is>
      </c>
      <c r="G161" t="inlineStr">
        <is>
          <t>NÄSSJÖ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45109</v>
      </c>
      <c r="E162" s="1" t="n">
        <v>46280</v>
      </c>
      <c r="F162" t="inlineStr">
        <is>
          <t>JÖNKÖPINGS LÄN</t>
        </is>
      </c>
      <c r="G162" t="inlineStr">
        <is>
          <t>NÄSSJÖ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46280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46280</v>
      </c>
      <c r="F164" t="inlineStr">
        <is>
          <t>JÖNKÖPINGS LÄN</t>
        </is>
      </c>
      <c r="G164" t="inlineStr">
        <is>
          <t>NÄSSJÖ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46280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46280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46280</v>
      </c>
      <c r="F167" t="inlineStr">
        <is>
          <t>JÖNKÖPINGS LÄN</t>
        </is>
      </c>
      <c r="G167" t="inlineStr">
        <is>
          <t>NÄSSJÖ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45335</v>
      </c>
      <c r="E168" s="1" t="n">
        <v>46280</v>
      </c>
      <c r="F168" t="inlineStr">
        <is>
          <t>JÖNKÖPINGS LÄN</t>
        </is>
      </c>
      <c r="G168" t="inlineStr">
        <is>
          <t>NÄSSJÖ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45335</v>
      </c>
      <c r="E169" s="1" t="n">
        <v>46280</v>
      </c>
      <c r="F169" t="inlineStr">
        <is>
          <t>JÖNKÖPINGS LÄN</t>
        </is>
      </c>
      <c r="G169" t="inlineStr">
        <is>
          <t>NÄSSJÖ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46280</v>
      </c>
      <c r="F170" t="inlineStr">
        <is>
          <t>JÖNKÖPINGS LÄN</t>
        </is>
      </c>
      <c r="G170" t="inlineStr">
        <is>
          <t>NÄSSJÖ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46280</v>
      </c>
      <c r="F171" t="inlineStr">
        <is>
          <t>JÖNKÖPINGS LÄN</t>
        </is>
      </c>
      <c r="G171" t="inlineStr">
        <is>
          <t>NÄSSJÖ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46280</v>
      </c>
      <c r="F172" t="inlineStr">
        <is>
          <t>JÖNKÖPINGS LÄN</t>
        </is>
      </c>
      <c r="G172" t="inlineStr">
        <is>
          <t>NÄSSJÖ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46280</v>
      </c>
      <c r="F173" t="inlineStr">
        <is>
          <t>JÖNKÖPINGS LÄN</t>
        </is>
      </c>
      <c r="G173" t="inlineStr">
        <is>
          <t>NÄSSJÖ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46280</v>
      </c>
      <c r="F174" t="inlineStr">
        <is>
          <t>JÖNKÖPINGS LÄN</t>
        </is>
      </c>
      <c r="G174" t="inlineStr">
        <is>
          <t>NÄSSJÖ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45907</v>
      </c>
      <c r="E175" s="1" t="n">
        <v>46280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45907</v>
      </c>
      <c r="E176" s="1" t="n">
        <v>46280</v>
      </c>
      <c r="F176" t="inlineStr">
        <is>
          <t>JÖNKÖPINGS LÄN</t>
        </is>
      </c>
      <c r="G176" t="inlineStr">
        <is>
          <t>NÄSSJÖ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46280</v>
      </c>
      <c r="F177" t="inlineStr">
        <is>
          <t>JÖNKÖPINGS LÄN</t>
        </is>
      </c>
      <c r="G177" t="inlineStr">
        <is>
          <t>NÄSSJÖ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46280</v>
      </c>
      <c r="F178" t="inlineStr">
        <is>
          <t>JÖNKÖPINGS LÄN</t>
        </is>
      </c>
      <c r="G178" t="inlineStr">
        <is>
          <t>NÄSSJÖ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46280</v>
      </c>
      <c r="F179" t="inlineStr">
        <is>
          <t>JÖNKÖPINGS LÄN</t>
        </is>
      </c>
      <c r="G179" t="inlineStr">
        <is>
          <t>NÄSSJÖ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45317</v>
      </c>
      <c r="E180" s="1" t="n">
        <v>46280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46280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46280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46280</v>
      </c>
      <c r="F183" t="inlineStr">
        <is>
          <t>JÖNKÖPINGS LÄN</t>
        </is>
      </c>
      <c r="G183" t="inlineStr">
        <is>
          <t>NÄSSJÖ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46280</v>
      </c>
      <c r="F184" t="inlineStr">
        <is>
          <t>JÖNKÖPINGS LÄN</t>
        </is>
      </c>
      <c r="G184" t="inlineStr">
        <is>
          <t>NÄSSJÖ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54303-2021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44472</v>
      </c>
      <c r="E185" s="1" t="n">
        <v>46280</v>
      </c>
      <c r="F185" t="inlineStr">
        <is>
          <t>JÖNKÖPINGS LÄN</t>
        </is>
      </c>
      <c r="G185" t="inlineStr">
        <is>
          <t>NÄSSJÖ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46280</v>
      </c>
      <c r="F186" t="inlineStr">
        <is>
          <t>JÖNKÖPINGS LÄN</t>
        </is>
      </c>
      <c r="G186" t="inlineStr">
        <is>
          <t>NÄSSJÖ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46280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46280</v>
      </c>
      <c r="F188" t="inlineStr">
        <is>
          <t>JÖNKÖPINGS LÄN</t>
        </is>
      </c>
      <c r="G188" t="inlineStr">
        <is>
          <t>NÄSSJÖ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46280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45794</v>
      </c>
      <c r="E190" s="1" t="n">
        <v>46280</v>
      </c>
      <c r="F190" t="inlineStr">
        <is>
          <t>JÖNKÖPINGS LÄN</t>
        </is>
      </c>
      <c r="G190" t="inlineStr">
        <is>
          <t>NÄSSJÖ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46280</v>
      </c>
      <c r="F191" t="inlineStr">
        <is>
          <t>JÖNKÖPINGS LÄN</t>
        </is>
      </c>
      <c r="G191" t="inlineStr">
        <is>
          <t>NÄSSJÖ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46280</v>
      </c>
      <c r="F192" t="inlineStr">
        <is>
          <t>JÖNKÖPINGS LÄN</t>
        </is>
      </c>
      <c r="G192" t="inlineStr">
        <is>
          <t>NÄSSJÖ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46280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46280</v>
      </c>
      <c r="F194" t="inlineStr">
        <is>
          <t>JÖNKÖPINGS LÄN</t>
        </is>
      </c>
      <c r="G194" t="inlineStr">
        <is>
          <t>NÄSSJÖ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46280</v>
      </c>
      <c r="F195" t="inlineStr">
        <is>
          <t>JÖNKÖPINGS LÄN</t>
        </is>
      </c>
      <c r="G195" t="inlineStr">
        <is>
          <t>NÄSSJÖ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46280</v>
      </c>
      <c r="F196" t="inlineStr">
        <is>
          <t>JÖNKÖPINGS LÄN</t>
        </is>
      </c>
      <c r="G196" t="inlineStr">
        <is>
          <t>NÄSSJÖ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44763-2025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45917</v>
      </c>
      <c r="E197" s="1" t="n">
        <v>46280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45303</v>
      </c>
      <c r="E198" s="1" t="n">
        <v>46280</v>
      </c>
      <c r="F198" t="inlineStr">
        <is>
          <t>JÖNKÖPINGS LÄN</t>
        </is>
      </c>
      <c r="G198" t="inlineStr">
        <is>
          <t>NÄSSJÖ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45732</v>
      </c>
      <c r="E199" s="1" t="n">
        <v>46280</v>
      </c>
      <c r="F199" t="inlineStr">
        <is>
          <t>JÖNKÖPINGS LÄN</t>
        </is>
      </c>
      <c r="G199" t="inlineStr">
        <is>
          <t>NÄSSJÖ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46280</v>
      </c>
      <c r="F200" t="inlineStr">
        <is>
          <t>JÖNKÖPINGS LÄN</t>
        </is>
      </c>
      <c r="G200" t="inlineStr">
        <is>
          <t>NÄSSJÖ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45014</v>
      </c>
      <c r="E201" s="1" t="n">
        <v>46280</v>
      </c>
      <c r="F201" t="inlineStr">
        <is>
          <t>JÖNKÖPINGS LÄN</t>
        </is>
      </c>
      <c r="G201" t="inlineStr">
        <is>
          <t>NÄSSJÖ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45919</v>
      </c>
      <c r="E202" s="1" t="n">
        <v>46280</v>
      </c>
      <c r="F202" t="inlineStr">
        <is>
          <t>JÖNKÖPINGS LÄN</t>
        </is>
      </c>
      <c r="G202" t="inlineStr">
        <is>
          <t>NÄSSJÖ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46280</v>
      </c>
      <c r="F203" t="inlineStr">
        <is>
          <t>JÖNKÖPINGS LÄN</t>
        </is>
      </c>
      <c r="G203" t="inlineStr">
        <is>
          <t>NÄSSJÖ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46280</v>
      </c>
      <c r="F204" t="inlineStr">
        <is>
          <t>JÖNKÖPINGS LÄN</t>
        </is>
      </c>
      <c r="G204" t="inlineStr">
        <is>
          <t>NÄSSJÖ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45843</v>
      </c>
      <c r="E205" s="1" t="n">
        <v>46280</v>
      </c>
      <c r="F205" t="inlineStr">
        <is>
          <t>JÖNKÖPINGS LÄN</t>
        </is>
      </c>
      <c r="G205" t="inlineStr">
        <is>
          <t>NÄSSJÖ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46280</v>
      </c>
      <c r="F206" t="inlineStr">
        <is>
          <t>JÖNKÖPINGS LÄN</t>
        </is>
      </c>
      <c r="G206" t="inlineStr">
        <is>
          <t>NÄSSJÖ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46280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46280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45843</v>
      </c>
      <c r="E209" s="1" t="n">
        <v>46280</v>
      </c>
      <c r="F209" t="inlineStr">
        <is>
          <t>JÖNKÖPINGS LÄN</t>
        </is>
      </c>
      <c r="G209" t="inlineStr">
        <is>
          <t>NÄSSJÖ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46280</v>
      </c>
      <c r="F210" t="inlineStr">
        <is>
          <t>JÖNKÖPINGS LÄN</t>
        </is>
      </c>
      <c r="G210" t="inlineStr">
        <is>
          <t>NÄSSJÖ</t>
        </is>
      </c>
      <c r="H210" t="inlineStr">
        <is>
          <t>Övriga Aktiebolag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32982-2024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45517</v>
      </c>
      <c r="E211" s="1" t="n">
        <v>46280</v>
      </c>
      <c r="F211" t="inlineStr">
        <is>
          <t>JÖNKÖPINGS LÄN</t>
        </is>
      </c>
      <c r="G211" t="inlineStr">
        <is>
          <t>NÄSSJÖ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46280</v>
      </c>
      <c r="F212" t="inlineStr">
        <is>
          <t>JÖNKÖPINGS LÄN</t>
        </is>
      </c>
      <c r="G212" t="inlineStr">
        <is>
          <t>NÄSSJÖ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46280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46280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46280</v>
      </c>
      <c r="F215" t="inlineStr">
        <is>
          <t>JÖNKÖPINGS LÄN</t>
        </is>
      </c>
      <c r="G215" t="inlineStr">
        <is>
          <t>NÄSSJÖ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46061</v>
      </c>
      <c r="E216" s="1" t="n">
        <v>46280</v>
      </c>
      <c r="F216" t="inlineStr">
        <is>
          <t>JÖNKÖPINGS LÄN</t>
        </is>
      </c>
      <c r="G216" t="inlineStr">
        <is>
          <t>NÄSSJÖ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46280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46280</v>
      </c>
      <c r="F218" t="inlineStr">
        <is>
          <t>JÖNKÖPINGS LÄN</t>
        </is>
      </c>
      <c r="G218" t="inlineStr">
        <is>
          <t>NÄSSJÖ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9943-2025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45719</v>
      </c>
      <c r="E219" s="1" t="n">
        <v>46280</v>
      </c>
      <c r="F219" t="inlineStr">
        <is>
          <t>JÖNKÖPINGS LÄN</t>
        </is>
      </c>
      <c r="G219" t="inlineStr">
        <is>
          <t>NÄSSJÖ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46280</v>
      </c>
      <c r="F220" t="inlineStr">
        <is>
          <t>JÖNKÖPINGS LÄN</t>
        </is>
      </c>
      <c r="G220" t="inlineStr">
        <is>
          <t>NÄSSJÖ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46280</v>
      </c>
      <c r="F221" t="inlineStr">
        <is>
          <t>JÖNKÖPINGS LÄN</t>
        </is>
      </c>
      <c r="G221" t="inlineStr">
        <is>
          <t>NÄSSJÖ</t>
        </is>
      </c>
      <c r="H221" t="inlineStr">
        <is>
          <t>Kyrkan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46280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57627-2021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44484</v>
      </c>
      <c r="E223" s="1" t="n">
        <v>46280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46280</v>
      </c>
      <c r="F224" t="inlineStr">
        <is>
          <t>JÖNKÖPINGS LÄN</t>
        </is>
      </c>
      <c r="G224" t="inlineStr">
        <is>
          <t>NÄSSJÖ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46280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46074</v>
      </c>
      <c r="E226" s="1" t="n">
        <v>46280</v>
      </c>
      <c r="F226" t="inlineStr">
        <is>
          <t>JÖNKÖPINGS LÄN</t>
        </is>
      </c>
      <c r="G226" t="inlineStr">
        <is>
          <t>NÄSSJÖ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46280</v>
      </c>
      <c r="F227" t="inlineStr">
        <is>
          <t>JÖNKÖPINGS LÄN</t>
        </is>
      </c>
      <c r="G227" t="inlineStr">
        <is>
          <t>NÄSSJÖ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46280</v>
      </c>
      <c r="F228" t="inlineStr">
        <is>
          <t>JÖNKÖPINGS LÄN</t>
        </is>
      </c>
      <c r="G228" t="inlineStr">
        <is>
          <t>NÄSSJÖ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45732</v>
      </c>
      <c r="E229" s="1" t="n">
        <v>46280</v>
      </c>
      <c r="F229" t="inlineStr">
        <is>
          <t>JÖNKÖPINGS LÄN</t>
        </is>
      </c>
      <c r="G229" t="inlineStr">
        <is>
          <t>NÄSSJÖ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45942</v>
      </c>
      <c r="E230" s="1" t="n">
        <v>46280</v>
      </c>
      <c r="F230" t="inlineStr">
        <is>
          <t>JÖNKÖPINGS LÄN</t>
        </is>
      </c>
      <c r="G230" t="inlineStr">
        <is>
          <t>NÄSSJÖ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50219-2025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45943</v>
      </c>
      <c r="E231" s="1" t="n">
        <v>46280</v>
      </c>
      <c r="F231" t="inlineStr">
        <is>
          <t>JÖNKÖPINGS LÄN</t>
        </is>
      </c>
      <c r="G231" t="inlineStr">
        <is>
          <t>NÄSSJÖ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46280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46280</v>
      </c>
      <c r="F233" t="inlineStr">
        <is>
          <t>JÖNKÖPINGS LÄN</t>
        </is>
      </c>
      <c r="G233" t="inlineStr">
        <is>
          <t>NÄSSJÖ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46280</v>
      </c>
      <c r="F234" t="inlineStr">
        <is>
          <t>JÖNKÖPINGS LÄN</t>
        </is>
      </c>
      <c r="G234" t="inlineStr">
        <is>
          <t>NÄSSJÖ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46280</v>
      </c>
      <c r="F235" t="inlineStr">
        <is>
          <t>JÖNKÖPINGS LÄN</t>
        </is>
      </c>
      <c r="G235" t="inlineStr">
        <is>
          <t>NÄSSJÖ</t>
        </is>
      </c>
      <c r="H235" t="inlineStr">
        <is>
          <t>Kyrkan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44360-2023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45188</v>
      </c>
      <c r="E236" s="1" t="n">
        <v>46280</v>
      </c>
      <c r="F236" t="inlineStr">
        <is>
          <t>JÖNKÖPINGS LÄN</t>
        </is>
      </c>
      <c r="G236" t="inlineStr">
        <is>
          <t>NÄSSJÖ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46280</v>
      </c>
      <c r="F237" t="inlineStr">
        <is>
          <t>JÖNKÖPINGS LÄN</t>
        </is>
      </c>
      <c r="G237" t="inlineStr">
        <is>
          <t>NÄSSJÖ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45713</v>
      </c>
      <c r="E238" s="1" t="n">
        <v>46280</v>
      </c>
      <c r="F238" t="inlineStr">
        <is>
          <t>JÖNKÖPINGS LÄN</t>
        </is>
      </c>
      <c r="G238" t="inlineStr">
        <is>
          <t>NÄSSJÖ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50439-2025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45944</v>
      </c>
      <c r="E239" s="1" t="n">
        <v>46280</v>
      </c>
      <c r="F239" t="inlineStr">
        <is>
          <t>JÖNKÖPINGS LÄN</t>
        </is>
      </c>
      <c r="G239" t="inlineStr">
        <is>
          <t>NÄSSJÖ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45881</v>
      </c>
      <c r="E240" s="1" t="n">
        <v>46280</v>
      </c>
      <c r="F240" t="inlineStr">
        <is>
          <t>JÖNKÖPINGS LÄN</t>
        </is>
      </c>
      <c r="G240" t="inlineStr">
        <is>
          <t>NÄSSJÖ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46280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46280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46280</v>
      </c>
      <c r="F243" t="inlineStr">
        <is>
          <t>JÖNKÖPINGS LÄN</t>
        </is>
      </c>
      <c r="G243" t="inlineStr">
        <is>
          <t>NÄSSJÖ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46280</v>
      </c>
      <c r="F244" t="inlineStr">
        <is>
          <t>JÖNKÖPINGS LÄN</t>
        </is>
      </c>
      <c r="G244" t="inlineStr">
        <is>
          <t>NÄSSJÖ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46280</v>
      </c>
      <c r="F245" t="inlineStr">
        <is>
          <t>JÖNKÖPINGS LÄN</t>
        </is>
      </c>
      <c r="G245" t="inlineStr">
        <is>
          <t>NÄSSJÖ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46280</v>
      </c>
      <c r="F246" t="inlineStr">
        <is>
          <t>JÖNKÖPINGS LÄN</t>
        </is>
      </c>
      <c r="G246" t="inlineStr">
        <is>
          <t>NÄSSJÖ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46280</v>
      </c>
      <c r="F247" t="inlineStr">
        <is>
          <t>JÖNKÖPINGS LÄN</t>
        </is>
      </c>
      <c r="G247" t="inlineStr">
        <is>
          <t>NÄSSJÖ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46280</v>
      </c>
      <c r="F248" t="inlineStr">
        <is>
          <t>JÖNKÖPINGS LÄN</t>
        </is>
      </c>
      <c r="G248" t="inlineStr">
        <is>
          <t>NÄSSJÖ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45402</v>
      </c>
      <c r="E249" s="1" t="n">
        <v>46280</v>
      </c>
      <c r="F249" t="inlineStr">
        <is>
          <t>JÖNKÖPINGS LÄN</t>
        </is>
      </c>
      <c r="G249" t="inlineStr">
        <is>
          <t>NÄSSJÖ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46280</v>
      </c>
      <c r="F250" t="inlineStr">
        <is>
          <t>JÖNKÖPINGS LÄN</t>
        </is>
      </c>
      <c r="G250" t="inlineStr">
        <is>
          <t>NÄSSJÖ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46280</v>
      </c>
      <c r="F251" t="inlineStr">
        <is>
          <t>JÖNKÖPINGS LÄN</t>
        </is>
      </c>
      <c r="G251" t="inlineStr">
        <is>
          <t>NÄSSJÖ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46280</v>
      </c>
      <c r="F252" t="inlineStr">
        <is>
          <t>JÖNKÖPINGS LÄN</t>
        </is>
      </c>
      <c r="G252" t="inlineStr">
        <is>
          <t>NÄSSJÖ</t>
        </is>
      </c>
      <c r="I252" t="n">
        <v>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46280</v>
      </c>
      <c r="F253" t="inlineStr">
        <is>
          <t>JÖNKÖPINGS LÄN</t>
        </is>
      </c>
      <c r="G253" t="inlineStr">
        <is>
          <t>NÄSSJÖ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45046</v>
      </c>
      <c r="E254" s="1" t="n">
        <v>46280</v>
      </c>
      <c r="F254" t="inlineStr">
        <is>
          <t>JÖNKÖPINGS LÄN</t>
        </is>
      </c>
      <c r="G254" t="inlineStr">
        <is>
          <t>NÄSSJÖ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20498-2022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44699</v>
      </c>
      <c r="E255" s="1" t="n">
        <v>46280</v>
      </c>
      <c r="F255" t="inlineStr">
        <is>
          <t>JÖNKÖPINGS LÄN</t>
        </is>
      </c>
      <c r="G255" t="inlineStr">
        <is>
          <t>NÄSSJÖ</t>
        </is>
      </c>
      <c r="I255" t="n">
        <v>11.3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12652-2026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46091</v>
      </c>
      <c r="E256" s="1" t="n">
        <v>46280</v>
      </c>
      <c r="F256" t="inlineStr">
        <is>
          <t>JÖNKÖPINGS LÄN</t>
        </is>
      </c>
      <c r="G256" t="inlineStr">
        <is>
          <t>NÄSSJÖ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46280</v>
      </c>
      <c r="F257" t="inlineStr">
        <is>
          <t>JÖNKÖPINGS LÄN</t>
        </is>
      </c>
      <c r="G257" t="inlineStr">
        <is>
          <t>NÄSSJÖ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46280</v>
      </c>
      <c r="F258" t="inlineStr">
        <is>
          <t>JÖNKÖPINGS LÄN</t>
        </is>
      </c>
      <c r="G258" t="inlineStr">
        <is>
          <t>NÄSSJÖ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46280</v>
      </c>
      <c r="F259" t="inlineStr">
        <is>
          <t>JÖNKÖPINGS LÄN</t>
        </is>
      </c>
      <c r="G259" t="inlineStr">
        <is>
          <t>NÄSSJÖ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46098</v>
      </c>
      <c r="E260" s="1" t="n">
        <v>46280</v>
      </c>
      <c r="F260" t="inlineStr">
        <is>
          <t>JÖNKÖPINGS LÄN</t>
        </is>
      </c>
      <c r="G260" t="inlineStr">
        <is>
          <t>NÄSSJÖ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46280</v>
      </c>
      <c r="F261" t="inlineStr">
        <is>
          <t>JÖNKÖPINGS LÄN</t>
        </is>
      </c>
      <c r="G261" t="inlineStr">
        <is>
          <t>NÄSSJÖ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46280</v>
      </c>
      <c r="F262" t="inlineStr">
        <is>
          <t>JÖNKÖPINGS LÄN</t>
        </is>
      </c>
      <c r="G262" t="inlineStr">
        <is>
          <t>NÄSSJÖ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46280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46280</v>
      </c>
      <c r="F264" t="inlineStr">
        <is>
          <t>JÖNKÖPINGS LÄN</t>
        </is>
      </c>
      <c r="G264" t="inlineStr">
        <is>
          <t>NÄSSJÖ</t>
        </is>
      </c>
      <c r="H264" t="inlineStr">
        <is>
          <t>Kommuner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14721-2026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46280</v>
      </c>
      <c r="F265" t="inlineStr">
        <is>
          <t>JÖNKÖPINGS LÄN</t>
        </is>
      </c>
      <c r="G265" t="inlineStr">
        <is>
          <t>NÄSSJÖ</t>
        </is>
      </c>
      <c r="H265" t="inlineStr">
        <is>
          <t>Kommuner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46280</v>
      </c>
      <c r="F266" t="inlineStr">
        <is>
          <t>JÖNKÖPINGS LÄN</t>
        </is>
      </c>
      <c r="G266" t="inlineStr">
        <is>
          <t>NÄSSJÖ</t>
        </is>
      </c>
      <c r="H266" t="inlineStr">
        <is>
          <t>Kommuner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46280</v>
      </c>
      <c r="F267" t="inlineStr">
        <is>
          <t>JÖNKÖPINGS LÄN</t>
        </is>
      </c>
      <c r="G267" t="inlineStr">
        <is>
          <t>NÄSSJÖ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46280</v>
      </c>
      <c r="F268" t="inlineStr">
        <is>
          <t>JÖNKÖPINGS LÄN</t>
        </is>
      </c>
      <c r="G268" t="inlineStr">
        <is>
          <t>NÄSSJÖ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46280</v>
      </c>
      <c r="F269" t="inlineStr">
        <is>
          <t>JÖNKÖPINGS LÄN</t>
        </is>
      </c>
      <c r="G269" t="inlineStr">
        <is>
          <t>NÄSSJÖ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46280</v>
      </c>
      <c r="F270" t="inlineStr">
        <is>
          <t>JÖNKÖPINGS LÄN</t>
        </is>
      </c>
      <c r="G270" t="inlineStr">
        <is>
          <t>NÄSSJÖ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46280</v>
      </c>
      <c r="F271" t="inlineStr">
        <is>
          <t>JÖNKÖPINGS LÄN</t>
        </is>
      </c>
      <c r="G271" t="inlineStr">
        <is>
          <t>NÄSSJÖ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46280</v>
      </c>
      <c r="F272" t="inlineStr">
        <is>
          <t>JÖNKÖPINGS LÄN</t>
        </is>
      </c>
      <c r="G272" t="inlineStr">
        <is>
          <t>NÄSSJÖ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46280</v>
      </c>
      <c r="F273" t="inlineStr">
        <is>
          <t>JÖNKÖPINGS LÄN</t>
        </is>
      </c>
      <c r="G273" t="inlineStr">
        <is>
          <t>NÄSSJÖ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45488</v>
      </c>
      <c r="E274" s="1" t="n">
        <v>46280</v>
      </c>
      <c r="F274" t="inlineStr">
        <is>
          <t>JÖNKÖPINGS LÄN</t>
        </is>
      </c>
      <c r="G274" t="inlineStr">
        <is>
          <t>NÄSSJÖ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46280</v>
      </c>
      <c r="F275" t="inlineStr">
        <is>
          <t>JÖNKÖPINGS LÄN</t>
        </is>
      </c>
      <c r="G275" t="inlineStr">
        <is>
          <t>NÄSSJÖ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46129</v>
      </c>
      <c r="E276" s="1" t="n">
        <v>46280</v>
      </c>
      <c r="F276" t="inlineStr">
        <is>
          <t>JÖNKÖPINGS LÄN</t>
        </is>
      </c>
      <c r="G276" t="inlineStr">
        <is>
          <t>NÄSSJÖ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46280</v>
      </c>
      <c r="F277" t="inlineStr">
        <is>
          <t>JÖNKÖPINGS LÄN</t>
        </is>
      </c>
      <c r="G277" t="inlineStr">
        <is>
          <t>NÄSSJÖ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46280</v>
      </c>
      <c r="F278" t="inlineStr">
        <is>
          <t>JÖNKÖPINGS LÄN</t>
        </is>
      </c>
      <c r="G278" t="inlineStr">
        <is>
          <t>NÄSSJÖ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46280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HYPERLINK("https://klasma.github.io/Logging_0682/knärot/A 56586-2025 karta knärot.png", "A 56586-2025")</f>
        <v/>
      </c>
      <c r="AA279">
        <f>HYPERLINK("https://klasma.github.io/Logging_0682/klagomål/A 56586-2025 FSC-klagomål.docx", "A 56586-2025")</f>
        <v/>
      </c>
      <c r="AB279">
        <f>HYPERLINK("https://klasma.github.io/Logging_0682/klagomålsmail/A 56586-2025 FSC-klagomål mail.docx", "A 56586-2025")</f>
        <v/>
      </c>
      <c r="AC279">
        <f>HYPERLINK("https://klasma.github.io/Logging_0682/tillsyn/A 56586-2025 tillsynsbegäran.docx", "A 56586-2025")</f>
        <v/>
      </c>
      <c r="AD279">
        <f>HYPERLINK("https://klasma.github.io/Logging_0682/tillsynsmail/A 56586-2025 tillsynsbegäran mail.docx", "A 56586-2025")</f>
        <v/>
      </c>
    </row>
    <row r="280" ht="15" customHeight="1">
      <c r="A280" t="inlineStr">
        <is>
          <t>A 12031-2025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46280</v>
      </c>
      <c r="F280" t="inlineStr">
        <is>
          <t>JÖNKÖPINGS LÄN</t>
        </is>
      </c>
      <c r="G280" t="inlineStr">
        <is>
          <t>NÄSSJÖ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46280</v>
      </c>
      <c r="F281" t="inlineStr">
        <is>
          <t>JÖNKÖPINGS LÄN</t>
        </is>
      </c>
      <c r="G281" t="inlineStr">
        <is>
          <t>NÄSSJÖ</t>
        </is>
      </c>
      <c r="I281" t="n">
        <v>13.7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46280</v>
      </c>
      <c r="F282" t="inlineStr">
        <is>
          <t>JÖNKÖPINGS LÄN</t>
        </is>
      </c>
      <c r="G282" t="inlineStr">
        <is>
          <t>NÄSSJÖ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45732</v>
      </c>
      <c r="E283" s="1" t="n">
        <v>46280</v>
      </c>
      <c r="F283" t="inlineStr">
        <is>
          <t>JÖNKÖPINGS LÄN</t>
        </is>
      </c>
      <c r="G283" t="inlineStr">
        <is>
          <t>NÄSSJÖ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46280</v>
      </c>
      <c r="F284" t="inlineStr">
        <is>
          <t>JÖNKÖPINGS LÄN</t>
        </is>
      </c>
      <c r="G284" t="inlineStr">
        <is>
          <t>NÄSSJÖ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46280</v>
      </c>
      <c r="F285" t="inlineStr">
        <is>
          <t>JÖNKÖPINGS LÄN</t>
        </is>
      </c>
      <c r="G285" t="inlineStr">
        <is>
          <t>NÄSSJÖ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44904</v>
      </c>
      <c r="E286" s="1" t="n">
        <v>46280</v>
      </c>
      <c r="F286" t="inlineStr">
        <is>
          <t>JÖNKÖPINGS LÄN</t>
        </is>
      </c>
      <c r="G286" t="inlineStr">
        <is>
          <t>NÄSSJÖ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63896-2025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46020</v>
      </c>
      <c r="E287" s="1" t="n">
        <v>46280</v>
      </c>
      <c r="F287" t="inlineStr">
        <is>
          <t>JÖNKÖPINGS LÄN</t>
        </is>
      </c>
      <c r="G287" t="inlineStr">
        <is>
          <t>NÄSSJÖ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57918-2021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44487</v>
      </c>
      <c r="E288" s="1" t="n">
        <v>46280</v>
      </c>
      <c r="F288" t="inlineStr">
        <is>
          <t>JÖNKÖPINGS LÄN</t>
        </is>
      </c>
      <c r="G288" t="inlineStr">
        <is>
          <t>NÄSSJÖ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46280</v>
      </c>
      <c r="F289" t="inlineStr">
        <is>
          <t>JÖNKÖPINGS LÄN</t>
        </is>
      </c>
      <c r="G289" t="inlineStr">
        <is>
          <t>NÄSSJÖ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46280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46280</v>
      </c>
      <c r="F291" t="inlineStr">
        <is>
          <t>JÖNKÖPINGS LÄN</t>
        </is>
      </c>
      <c r="G291" t="inlineStr">
        <is>
          <t>NÄSSJÖ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46280</v>
      </c>
      <c r="F292" t="inlineStr">
        <is>
          <t>JÖNKÖPINGS LÄN</t>
        </is>
      </c>
      <c r="G292" t="inlineStr">
        <is>
          <t>NÄSSJÖ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45889</v>
      </c>
      <c r="E293" s="1" t="n">
        <v>46280</v>
      </c>
      <c r="F293" t="inlineStr">
        <is>
          <t>JÖNKÖPINGS LÄN</t>
        </is>
      </c>
      <c r="G293" t="inlineStr">
        <is>
          <t>NÄSSJÖ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46280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46280</v>
      </c>
      <c r="F295" t="inlineStr">
        <is>
          <t>JÖNKÖPINGS LÄN</t>
        </is>
      </c>
      <c r="G295" t="inlineStr">
        <is>
          <t>NÄSSJÖ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46280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46280</v>
      </c>
      <c r="F297" t="inlineStr">
        <is>
          <t>JÖNKÖPINGS LÄN</t>
        </is>
      </c>
      <c r="G297" t="inlineStr">
        <is>
          <t>NÄSSJÖ</t>
        </is>
      </c>
      <c r="H297" t="inlineStr">
        <is>
          <t>Kommuner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46280</v>
      </c>
      <c r="F298" t="inlineStr">
        <is>
          <t>JÖNKÖPINGS LÄN</t>
        </is>
      </c>
      <c r="G298" t="inlineStr">
        <is>
          <t>NÄSSJÖ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46280</v>
      </c>
      <c r="F299" t="inlineStr">
        <is>
          <t>JÖNKÖPINGS LÄN</t>
        </is>
      </c>
      <c r="G299" t="inlineStr">
        <is>
          <t>NÄSSJÖ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45821</v>
      </c>
      <c r="E300" s="1" t="n">
        <v>46280</v>
      </c>
      <c r="F300" t="inlineStr">
        <is>
          <t>JÖNKÖPINGS LÄN</t>
        </is>
      </c>
      <c r="G300" t="inlineStr">
        <is>
          <t>NÄSSJÖ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60535-2025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45995</v>
      </c>
      <c r="E301" s="1" t="n">
        <v>46280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46280</v>
      </c>
      <c r="F302" t="inlineStr">
        <is>
          <t>JÖNKÖPINGS LÄN</t>
        </is>
      </c>
      <c r="G302" t="inlineStr">
        <is>
          <t>NÄSSJÖ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46280</v>
      </c>
      <c r="F303" t="inlineStr">
        <is>
          <t>JÖNKÖPINGS LÄN</t>
        </is>
      </c>
      <c r="G303" t="inlineStr">
        <is>
          <t>NÄSSJÖ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46280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46280</v>
      </c>
      <c r="F305" t="inlineStr">
        <is>
          <t>JÖNKÖPINGS LÄN</t>
        </is>
      </c>
      <c r="G305" t="inlineStr">
        <is>
          <t>NÄSSJÖ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44609</v>
      </c>
      <c r="E306" s="1" t="n">
        <v>46280</v>
      </c>
      <c r="F306" t="inlineStr">
        <is>
          <t>JÖNKÖPINGS LÄN</t>
        </is>
      </c>
      <c r="G306" t="inlineStr">
        <is>
          <t>NÄSSJÖ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46280</v>
      </c>
      <c r="F307" t="inlineStr">
        <is>
          <t>JÖNKÖPINGS LÄN</t>
        </is>
      </c>
      <c r="G307" t="inlineStr">
        <is>
          <t>NÄSSJÖ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45083</v>
      </c>
      <c r="E308" s="1" t="n">
        <v>46280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45573</v>
      </c>
      <c r="E309" s="1" t="n">
        <v>46280</v>
      </c>
      <c r="F309" t="inlineStr">
        <is>
          <t>JÖNKÖPINGS LÄN</t>
        </is>
      </c>
      <c r="G309" t="inlineStr">
        <is>
          <t>NÄSSJÖ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45916</v>
      </c>
      <c r="E310" s="1" t="n">
        <v>46280</v>
      </c>
      <c r="F310" t="inlineStr">
        <is>
          <t>JÖNKÖPINGS LÄN</t>
        </is>
      </c>
      <c r="G310" t="inlineStr">
        <is>
          <t>NÄSSJÖ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46280</v>
      </c>
      <c r="F311" t="inlineStr">
        <is>
          <t>JÖNKÖPINGS LÄN</t>
        </is>
      </c>
      <c r="G311" t="inlineStr">
        <is>
          <t>NÄSSJÖ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44946</v>
      </c>
      <c r="E312" s="1" t="n">
        <v>46280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46280</v>
      </c>
      <c r="F313" t="inlineStr">
        <is>
          <t>JÖNKÖPINGS LÄN</t>
        </is>
      </c>
      <c r="G313" t="inlineStr">
        <is>
          <t>NÄSSJÖ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46280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46280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46280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45370</v>
      </c>
      <c r="E317" s="1" t="n">
        <v>46280</v>
      </c>
      <c r="F317" t="inlineStr">
        <is>
          <t>JÖNKÖPINGS LÄN</t>
        </is>
      </c>
      <c r="G317" t="inlineStr">
        <is>
          <t>NÄSSJÖ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44594</v>
      </c>
      <c r="E318" s="1" t="n">
        <v>46280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46280</v>
      </c>
      <c r="F319" t="inlineStr">
        <is>
          <t>JÖNKÖPINGS LÄN</t>
        </is>
      </c>
      <c r="G319" t="inlineStr">
        <is>
          <t>NÄSSJÖ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45083</v>
      </c>
      <c r="E320" s="1" t="n">
        <v>46280</v>
      </c>
      <c r="F320" t="inlineStr">
        <is>
          <t>JÖNKÖPINGS LÄN</t>
        </is>
      </c>
      <c r="G320" t="inlineStr">
        <is>
          <t>NÄSSJÖ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45358</v>
      </c>
      <c r="E321" s="1" t="n">
        <v>46280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46280</v>
      </c>
      <c r="F322" t="inlineStr">
        <is>
          <t>JÖNKÖPINGS LÄN</t>
        </is>
      </c>
      <c r="G322" t="inlineStr">
        <is>
          <t>NÄSSJÖ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46280</v>
      </c>
      <c r="F323" t="inlineStr">
        <is>
          <t>JÖNKÖPINGS LÄN</t>
        </is>
      </c>
      <c r="G323" t="inlineStr">
        <is>
          <t>NÄSSJÖ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46280</v>
      </c>
      <c r="F324" t="inlineStr">
        <is>
          <t>JÖNKÖPINGS LÄN</t>
        </is>
      </c>
      <c r="G324" t="inlineStr">
        <is>
          <t>NÄSSJÖ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44946</v>
      </c>
      <c r="E325" s="1" t="n">
        <v>46280</v>
      </c>
      <c r="F325" t="inlineStr">
        <is>
          <t>JÖNKÖPINGS LÄN</t>
        </is>
      </c>
      <c r="G325" t="inlineStr">
        <is>
          <t>NÄSSJÖ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46280</v>
      </c>
      <c r="F326" t="inlineStr">
        <is>
          <t>JÖNKÖPINGS LÄN</t>
        </is>
      </c>
      <c r="G326" t="inlineStr">
        <is>
          <t>NÄSSJÖ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44956</v>
      </c>
      <c r="E327" s="1" t="n">
        <v>46280</v>
      </c>
      <c r="F327" t="inlineStr">
        <is>
          <t>JÖNKÖPINGS LÄN</t>
        </is>
      </c>
      <c r="G327" t="inlineStr">
        <is>
          <t>NÄSSJÖ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46280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45106</v>
      </c>
      <c r="E329" s="1" t="n">
        <v>46280</v>
      </c>
      <c r="F329" t="inlineStr">
        <is>
          <t>JÖNKÖPINGS LÄN</t>
        </is>
      </c>
      <c r="G329" t="inlineStr">
        <is>
          <t>NÄSSJÖ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45412</v>
      </c>
      <c r="E330" s="1" t="n">
        <v>46280</v>
      </c>
      <c r="F330" t="inlineStr">
        <is>
          <t>JÖNKÖPINGS LÄN</t>
        </is>
      </c>
      <c r="G330" t="inlineStr">
        <is>
          <t>NÄSSJÖ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12720-2025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46280</v>
      </c>
      <c r="F331" t="inlineStr">
        <is>
          <t>JÖNKÖPINGS LÄN</t>
        </is>
      </c>
      <c r="G331" t="inlineStr">
        <is>
          <t>NÄSSJÖ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20606-2026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46140</v>
      </c>
      <c r="E332" s="1" t="n">
        <v>46280</v>
      </c>
      <c r="F332" t="inlineStr">
        <is>
          <t>JÖNKÖPINGS LÄN</t>
        </is>
      </c>
      <c r="G332" t="inlineStr">
        <is>
          <t>NÄSSJÖ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45694</v>
      </c>
      <c r="E333" s="1" t="n">
        <v>46280</v>
      </c>
      <c r="F333" t="inlineStr">
        <is>
          <t>JÖNKÖPINGS LÄN</t>
        </is>
      </c>
      <c r="G333" t="inlineStr">
        <is>
          <t>NÄSSJÖ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50488-2024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46280</v>
      </c>
      <c r="F334" t="inlineStr">
        <is>
          <t>JÖNKÖPINGS LÄN</t>
        </is>
      </c>
      <c r="G334" t="inlineStr">
        <is>
          <t>NÄSSJÖ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45162</v>
      </c>
      <c r="E335" s="1" t="n">
        <v>46280</v>
      </c>
      <c r="F335" t="inlineStr">
        <is>
          <t>JÖNKÖPINGS LÄN</t>
        </is>
      </c>
      <c r="G335" t="inlineStr">
        <is>
          <t>NÄSSJÖ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46280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45361</v>
      </c>
      <c r="E337" s="1" t="n">
        <v>46280</v>
      </c>
      <c r="F337" t="inlineStr">
        <is>
          <t>JÖNKÖPINGS LÄN</t>
        </is>
      </c>
      <c r="G337" t="inlineStr">
        <is>
          <t>NÄSSJÖ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71606-2021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44541</v>
      </c>
      <c r="E338" s="1" t="n">
        <v>46280</v>
      </c>
      <c r="F338" t="inlineStr">
        <is>
          <t>JÖNKÖPINGS LÄN</t>
        </is>
      </c>
      <c r="G338" t="inlineStr">
        <is>
          <t>NÄSSJÖ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46280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44873</v>
      </c>
      <c r="E340" s="1" t="n">
        <v>46280</v>
      </c>
      <c r="F340" t="inlineStr">
        <is>
          <t>JÖNKÖPINGS LÄN</t>
        </is>
      </c>
      <c r="G340" t="inlineStr">
        <is>
          <t>NÄSSJÖ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46280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31679-2022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44776</v>
      </c>
      <c r="E342" s="1" t="n">
        <v>46280</v>
      </c>
      <c r="F342" t="inlineStr">
        <is>
          <t>JÖNKÖPINGS LÄN</t>
        </is>
      </c>
      <c r="G342" t="inlineStr">
        <is>
          <t>NÄSSJÖ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46280</v>
      </c>
      <c r="F343" t="inlineStr">
        <is>
          <t>JÖNKÖPINGS LÄN</t>
        </is>
      </c>
      <c r="G343" t="inlineStr">
        <is>
          <t>NÄSSJÖ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45277</v>
      </c>
      <c r="E344" s="1" t="n">
        <v>46280</v>
      </c>
      <c r="F344" t="inlineStr">
        <is>
          <t>JÖNKÖPINGS LÄN</t>
        </is>
      </c>
      <c r="G344" t="inlineStr">
        <is>
          <t>NÄSSJÖ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45742</v>
      </c>
      <c r="E345" s="1" t="n">
        <v>46280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22783-2024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46280</v>
      </c>
      <c r="F346" t="inlineStr">
        <is>
          <t>JÖNKÖPINGS LÄN</t>
        </is>
      </c>
      <c r="G346" t="inlineStr">
        <is>
          <t>NÄSSJÖ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46280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41319-2022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44826</v>
      </c>
      <c r="E348" s="1" t="n">
        <v>46280</v>
      </c>
      <c r="F348" t="inlineStr">
        <is>
          <t>JÖNKÖPINGS LÄN</t>
        </is>
      </c>
      <c r="G348" t="inlineStr">
        <is>
          <t>NÄSSJÖ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46280</v>
      </c>
      <c r="F349" t="inlineStr">
        <is>
          <t>JÖNKÖPINGS LÄN</t>
        </is>
      </c>
      <c r="G349" t="inlineStr">
        <is>
          <t>NÄSSJÖ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45702</v>
      </c>
      <c r="E350" s="1" t="n">
        <v>46280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45742</v>
      </c>
      <c r="E351" s="1" t="n">
        <v>46280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45212</v>
      </c>
      <c r="E352" s="1" t="n">
        <v>46280</v>
      </c>
      <c r="F352" t="inlineStr">
        <is>
          <t>JÖNKÖPINGS LÄN</t>
        </is>
      </c>
      <c r="G352" t="inlineStr">
        <is>
          <t>NÄSSJÖ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46280</v>
      </c>
      <c r="F353" t="inlineStr">
        <is>
          <t>JÖNKÖPINGS LÄN</t>
        </is>
      </c>
      <c r="G353" t="inlineStr">
        <is>
          <t>NÄSSJÖ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46280</v>
      </c>
      <c r="F354" t="inlineStr">
        <is>
          <t>JÖNKÖPINGS LÄN</t>
        </is>
      </c>
      <c r="G354" t="inlineStr">
        <is>
          <t>NÄSSJÖ</t>
        </is>
      </c>
      <c r="H354" t="inlineStr">
        <is>
          <t>Kommuner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46280</v>
      </c>
      <c r="F355" t="inlineStr">
        <is>
          <t>JÖNKÖPINGS LÄN</t>
        </is>
      </c>
      <c r="G355" t="inlineStr">
        <is>
          <t>NÄSSJÖ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46280</v>
      </c>
      <c r="F356" t="inlineStr">
        <is>
          <t>JÖNKÖPINGS LÄN</t>
        </is>
      </c>
      <c r="G356" t="inlineStr">
        <is>
          <t>NÄSSJÖ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46280</v>
      </c>
      <c r="F357" t="inlineStr">
        <is>
          <t>JÖNKÖPINGS LÄN</t>
        </is>
      </c>
      <c r="G357" t="inlineStr">
        <is>
          <t>NÄSSJÖ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45391</v>
      </c>
      <c r="E358" s="1" t="n">
        <v>46280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45391</v>
      </c>
      <c r="E359" s="1" t="n">
        <v>46280</v>
      </c>
      <c r="F359" t="inlineStr">
        <is>
          <t>JÖNKÖPINGS LÄN</t>
        </is>
      </c>
      <c r="G359" t="inlineStr">
        <is>
          <t>NÄSSJÖ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46280</v>
      </c>
      <c r="F360" t="inlineStr">
        <is>
          <t>JÖNKÖPINGS LÄN</t>
        </is>
      </c>
      <c r="G360" t="inlineStr">
        <is>
          <t>NÄSSJÖ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46280</v>
      </c>
      <c r="F361" t="inlineStr">
        <is>
          <t>JÖNKÖPINGS LÄN</t>
        </is>
      </c>
      <c r="G361" t="inlineStr">
        <is>
          <t>NÄSSJÖ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24873-2026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46174</v>
      </c>
      <c r="E362" s="1" t="n">
        <v>46280</v>
      </c>
      <c r="F362" t="inlineStr">
        <is>
          <t>JÖNKÖPINGS LÄN</t>
        </is>
      </c>
      <c r="G362" t="inlineStr">
        <is>
          <t>NÄSSJÖ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46280</v>
      </c>
      <c r="F363" t="inlineStr">
        <is>
          <t>JÖNKÖPINGS LÄN</t>
        </is>
      </c>
      <c r="G363" t="inlineStr">
        <is>
          <t>NÄSSJÖ</t>
        </is>
      </c>
      <c r="H363" t="inlineStr">
        <is>
          <t>Sveaskog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24825-2026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46280</v>
      </c>
      <c r="F364" t="inlineStr">
        <is>
          <t>JÖNKÖPINGS LÄN</t>
        </is>
      </c>
      <c r="G364" t="inlineStr">
        <is>
          <t>NÄSSJÖ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45299</v>
      </c>
      <c r="E365" s="1" t="n">
        <v>46280</v>
      </c>
      <c r="F365" t="inlineStr">
        <is>
          <t>JÖNKÖPINGS LÄN</t>
        </is>
      </c>
      <c r="G365" t="inlineStr">
        <is>
          <t>NÄSSJÖ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46280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46187</v>
      </c>
      <c r="E367" s="1" t="n">
        <v>46280</v>
      </c>
      <c r="F367" t="inlineStr">
        <is>
          <t>JÖNKÖPINGS LÄN</t>
        </is>
      </c>
      <c r="G367" t="inlineStr">
        <is>
          <t>NÄSSJÖ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46187</v>
      </c>
      <c r="E368" s="1" t="n">
        <v>46280</v>
      </c>
      <c r="F368" t="inlineStr">
        <is>
          <t>JÖNKÖPINGS LÄN</t>
        </is>
      </c>
      <c r="G368" t="inlineStr">
        <is>
          <t>NÄSSJÖ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46280</v>
      </c>
      <c r="F369" t="inlineStr">
        <is>
          <t>JÖNKÖPINGS LÄN</t>
        </is>
      </c>
      <c r="G369" t="inlineStr">
        <is>
          <t>NÄSSJÖ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46280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46280</v>
      </c>
      <c r="F371" t="inlineStr">
        <is>
          <t>JÖNKÖPINGS LÄN</t>
        </is>
      </c>
      <c r="G371" t="inlineStr">
        <is>
          <t>NÄSSJÖ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46280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46280</v>
      </c>
      <c r="F373" t="inlineStr">
        <is>
          <t>JÖNKÖPINGS LÄN</t>
        </is>
      </c>
      <c r="G373" t="inlineStr">
        <is>
          <t>NÄSSJÖ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46280</v>
      </c>
      <c r="F374" t="inlineStr">
        <is>
          <t>JÖNKÖPINGS LÄN</t>
        </is>
      </c>
      <c r="G374" t="inlineStr">
        <is>
          <t>NÄSSJÖ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44928</v>
      </c>
      <c r="E375" s="1" t="n">
        <v>46280</v>
      </c>
      <c r="F375" t="inlineStr">
        <is>
          <t>JÖNKÖPINGS LÄN</t>
        </is>
      </c>
      <c r="G375" t="inlineStr">
        <is>
          <t>NÄSSJÖ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64057-2023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45279</v>
      </c>
      <c r="E376" s="1" t="n">
        <v>46280</v>
      </c>
      <c r="F376" t="inlineStr">
        <is>
          <t>JÖNKÖPINGS LÄN</t>
        </is>
      </c>
      <c r="G376" t="inlineStr">
        <is>
          <t>NÄSSJÖ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46280</v>
      </c>
      <c r="F377" t="inlineStr">
        <is>
          <t>JÖNKÖPINGS LÄN</t>
        </is>
      </c>
      <c r="G377" t="inlineStr">
        <is>
          <t>NÄSSJÖ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46280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46280</v>
      </c>
      <c r="F379" t="inlineStr">
        <is>
          <t>JÖNKÖPINGS LÄN</t>
        </is>
      </c>
      <c r="G379" t="inlineStr">
        <is>
          <t>NÄSSJÖ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46280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36604-2022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44804</v>
      </c>
      <c r="E381" s="1" t="n">
        <v>46280</v>
      </c>
      <c r="F381" t="inlineStr">
        <is>
          <t>JÖNKÖPINGS LÄN</t>
        </is>
      </c>
      <c r="G381" t="inlineStr">
        <is>
          <t>NÄSSJÖ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56411-2024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45625</v>
      </c>
      <c r="E382" s="1" t="n">
        <v>46280</v>
      </c>
      <c r="F382" t="inlineStr">
        <is>
          <t>JÖNKÖPINGS LÄN</t>
        </is>
      </c>
      <c r="G382" t="inlineStr">
        <is>
          <t>NÄSSJÖ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60838-2024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45644</v>
      </c>
      <c r="E383" s="1" t="n">
        <v>46280</v>
      </c>
      <c r="F383" t="inlineStr">
        <is>
          <t>JÖNKÖPINGS LÄN</t>
        </is>
      </c>
      <c r="G383" t="inlineStr">
        <is>
          <t>NÄSSJÖ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32824-2026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46243</v>
      </c>
      <c r="E384" s="1" t="n">
        <v>46280</v>
      </c>
      <c r="F384" t="inlineStr">
        <is>
          <t>JÖNKÖPINGS LÄN</t>
        </is>
      </c>
      <c r="G384" t="inlineStr">
        <is>
          <t>NÄSSJÖ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46243</v>
      </c>
      <c r="E385" s="1" t="n">
        <v>46280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46243</v>
      </c>
      <c r="E386" s="1" t="n">
        <v>46280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32829-2026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46243</v>
      </c>
      <c r="E387" s="1" t="n">
        <v>46280</v>
      </c>
      <c r="F387" t="inlineStr">
        <is>
          <t>JÖNKÖPINGS LÄN</t>
        </is>
      </c>
      <c r="G387" t="inlineStr">
        <is>
          <t>NÄSSJÖ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45454</v>
      </c>
      <c r="E388" s="1" t="n">
        <v>46280</v>
      </c>
      <c r="F388" t="inlineStr">
        <is>
          <t>JÖNKÖPINGS LÄN</t>
        </is>
      </c>
      <c r="G388" t="inlineStr">
        <is>
          <t>NÄSSJÖ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46243</v>
      </c>
      <c r="E389" s="1" t="n">
        <v>46280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46280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46280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33340-2026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46246</v>
      </c>
      <c r="E392" s="1" t="n">
        <v>46280</v>
      </c>
      <c r="F392" t="inlineStr">
        <is>
          <t>JÖNKÖPINGS LÄN</t>
        </is>
      </c>
      <c r="G392" t="inlineStr">
        <is>
          <t>NÄSSJÖ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46280</v>
      </c>
      <c r="F393" t="inlineStr">
        <is>
          <t>JÖNKÖPINGS LÄN</t>
        </is>
      </c>
      <c r="G393" t="inlineStr">
        <is>
          <t>NÄSSJÖ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46280</v>
      </c>
      <c r="F394" t="inlineStr">
        <is>
          <t>JÖNKÖPINGS LÄN</t>
        </is>
      </c>
      <c r="G394" t="inlineStr">
        <is>
          <t>NÄSSJÖ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44956</v>
      </c>
      <c r="E395" s="1" t="n">
        <v>46280</v>
      </c>
      <c r="F395" t="inlineStr">
        <is>
          <t>JÖNKÖPINGS LÄN</t>
        </is>
      </c>
      <c r="G395" t="inlineStr">
        <is>
          <t>NÄSSJÖ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46280</v>
      </c>
      <c r="F396" t="inlineStr">
        <is>
          <t>JÖNKÖPINGS LÄN</t>
        </is>
      </c>
      <c r="G396" t="inlineStr">
        <is>
          <t>NÄSSJÖ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45460</v>
      </c>
      <c r="E397" s="1" t="n">
        <v>46280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46280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46280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46280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46280</v>
      </c>
      <c r="F401" t="inlineStr">
        <is>
          <t>JÖNKÖPINGS LÄN</t>
        </is>
      </c>
      <c r="G401" t="inlineStr">
        <is>
          <t>NÄSSJÖ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46280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30382-2026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46209</v>
      </c>
      <c r="E403" s="1" t="n">
        <v>46280</v>
      </c>
      <c r="F403" t="inlineStr">
        <is>
          <t>JÖNKÖPINGS LÄN</t>
        </is>
      </c>
      <c r="G403" t="inlineStr">
        <is>
          <t>NÄSSJÖ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46280</v>
      </c>
      <c r="F404" t="inlineStr">
        <is>
          <t>JÖNKÖPINGS LÄN</t>
        </is>
      </c>
      <c r="G404" t="inlineStr">
        <is>
          <t>NÄSSJÖ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48890-2023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45209</v>
      </c>
      <c r="E405" s="1" t="n">
        <v>46280</v>
      </c>
      <c r="F405" t="inlineStr">
        <is>
          <t>JÖNKÖPINGS LÄN</t>
        </is>
      </c>
      <c r="G405" t="inlineStr">
        <is>
          <t>NÄSSJÖ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45320</v>
      </c>
      <c r="E406" s="1" t="n">
        <v>46280</v>
      </c>
      <c r="F406" t="inlineStr">
        <is>
          <t>JÖNKÖPINGS LÄN</t>
        </is>
      </c>
      <c r="G406" t="inlineStr">
        <is>
          <t>NÄSSJÖ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46280</v>
      </c>
      <c r="F407" t="inlineStr">
        <is>
          <t>JÖNKÖPINGS LÄN</t>
        </is>
      </c>
      <c r="G407" t="inlineStr">
        <is>
          <t>NÄSSJÖ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45372</v>
      </c>
      <c r="E408" s="1" t="n">
        <v>46280</v>
      </c>
      <c r="F408" t="inlineStr">
        <is>
          <t>JÖNKÖPINGS LÄN</t>
        </is>
      </c>
      <c r="G408" t="inlineStr">
        <is>
          <t>NÄSSJÖ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43156-2024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45567</v>
      </c>
      <c r="E409" s="1" t="n">
        <v>46280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46212</v>
      </c>
      <c r="E410" s="1" t="n">
        <v>46280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46280</v>
      </c>
      <c r="F411" t="inlineStr">
        <is>
          <t>JÖNKÖPINGS LÄN</t>
        </is>
      </c>
      <c r="G411" t="inlineStr">
        <is>
          <t>NÄSSJÖ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46258</v>
      </c>
      <c r="E412" s="1" t="n">
        <v>46280</v>
      </c>
      <c r="F412" t="inlineStr">
        <is>
          <t>JÖNKÖPINGS LÄN</t>
        </is>
      </c>
      <c r="G412" t="inlineStr">
        <is>
          <t>NÄSSJÖ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46258</v>
      </c>
      <c r="E413" s="1" t="n">
        <v>46280</v>
      </c>
      <c r="F413" t="inlineStr">
        <is>
          <t>JÖNKÖPINGS LÄN</t>
        </is>
      </c>
      <c r="G413" t="inlineStr">
        <is>
          <t>NÄSSJÖ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45343</v>
      </c>
      <c r="E414" s="1" t="n">
        <v>46280</v>
      </c>
      <c r="F414" t="inlineStr">
        <is>
          <t>JÖNKÖPINGS LÄN</t>
        </is>
      </c>
      <c r="G414" t="inlineStr">
        <is>
          <t>NÄSSJÖ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40927-2023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46280</v>
      </c>
      <c r="F415" t="inlineStr">
        <is>
          <t>JÖNKÖPINGS LÄN</t>
        </is>
      </c>
      <c r="G415" t="inlineStr">
        <is>
          <t>NÄSSJÖ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42685-2024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46280</v>
      </c>
      <c r="F416" t="inlineStr">
        <is>
          <t>JÖNKÖPINGS LÄN</t>
        </is>
      </c>
      <c r="G416" t="inlineStr">
        <is>
          <t>NÄSSJÖ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46260</v>
      </c>
      <c r="E417" s="1" t="n">
        <v>46280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46280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46280</v>
      </c>
      <c r="F419" t="inlineStr">
        <is>
          <t>JÖNKÖPINGS LÄN</t>
        </is>
      </c>
      <c r="G419" t="inlineStr">
        <is>
          <t>NÄSSJÖ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46280</v>
      </c>
      <c r="F420" t="inlineStr">
        <is>
          <t>JÖNKÖPINGS LÄN</t>
        </is>
      </c>
      <c r="G420" t="inlineStr">
        <is>
          <t>NÄSSJÖ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17945-2025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45760</v>
      </c>
      <c r="E421" s="1" t="n">
        <v>46280</v>
      </c>
      <c r="F421" t="inlineStr">
        <is>
          <t>JÖNKÖPINGS LÄN</t>
        </is>
      </c>
      <c r="G421" t="inlineStr">
        <is>
          <t>NÄSSJÖ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14117-2023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45009</v>
      </c>
      <c r="E422" s="1" t="n">
        <v>46280</v>
      </c>
      <c r="F422" t="inlineStr">
        <is>
          <t>JÖNKÖPINGS LÄN</t>
        </is>
      </c>
      <c r="G422" t="inlineStr">
        <is>
          <t>NÄSSJÖ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15862-2022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44664</v>
      </c>
      <c r="E423" s="1" t="n">
        <v>46280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45630</v>
      </c>
      <c r="E424" s="1" t="n">
        <v>46280</v>
      </c>
      <c r="F424" t="inlineStr">
        <is>
          <t>JÖNKÖPINGS LÄN</t>
        </is>
      </c>
      <c r="G424" t="inlineStr">
        <is>
          <t>NÄSSJÖ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64665-2023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45281</v>
      </c>
      <c r="E425" s="1" t="n">
        <v>46280</v>
      </c>
      <c r="F425" t="inlineStr">
        <is>
          <t>JÖNKÖPINGS LÄN</t>
        </is>
      </c>
      <c r="G425" t="inlineStr">
        <is>
          <t>NÄSSJÖ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46280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46260</v>
      </c>
      <c r="E427" s="1" t="n">
        <v>46280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45610</v>
      </c>
      <c r="E428" s="1" t="n">
        <v>46280</v>
      </c>
      <c r="F428" t="inlineStr">
        <is>
          <t>JÖNKÖPINGS LÄN</t>
        </is>
      </c>
      <c r="G428" t="inlineStr">
        <is>
          <t>NÄSSJÖ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46280</v>
      </c>
      <c r="F429" t="inlineStr">
        <is>
          <t>JÖNKÖPINGS LÄN</t>
        </is>
      </c>
      <c r="G429" t="inlineStr">
        <is>
          <t>NÄSSJÖ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46280</v>
      </c>
      <c r="F430" t="inlineStr">
        <is>
          <t>JÖNKÖPINGS LÄN</t>
        </is>
      </c>
      <c r="G430" t="inlineStr">
        <is>
          <t>NÄSSJÖ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45720</v>
      </c>
      <c r="E431" s="1" t="n">
        <v>46280</v>
      </c>
      <c r="F431" t="inlineStr">
        <is>
          <t>JÖNKÖPINGS LÄN</t>
        </is>
      </c>
      <c r="G431" t="inlineStr">
        <is>
          <t>NÄSSJÖ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46280</v>
      </c>
      <c r="F432" t="inlineStr">
        <is>
          <t>JÖNKÖPINGS LÄN</t>
        </is>
      </c>
      <c r="G432" t="inlineStr">
        <is>
          <t>NÄSSJÖ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28568-2026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46280</v>
      </c>
      <c r="F433" t="inlineStr">
        <is>
          <t>JÖNKÖPINGS LÄN</t>
        </is>
      </c>
      <c r="G433" t="inlineStr">
        <is>
          <t>NÄSSJÖ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48479-2022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44858</v>
      </c>
      <c r="E434" s="1" t="n">
        <v>46280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62583-2023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45270</v>
      </c>
      <c r="E435" s="1" t="n">
        <v>46280</v>
      </c>
      <c r="F435" t="inlineStr">
        <is>
          <t>JÖNKÖPINGS LÄN</t>
        </is>
      </c>
      <c r="G435" t="inlineStr">
        <is>
          <t>NÄSSJÖ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45203</v>
      </c>
      <c r="E436" s="1" t="n">
        <v>46280</v>
      </c>
      <c r="F436" t="inlineStr">
        <is>
          <t>JÖNKÖPINGS LÄN</t>
        </is>
      </c>
      <c r="G436" t="inlineStr">
        <is>
          <t>NÄSSJÖ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45680</v>
      </c>
      <c r="E437" s="1" t="n">
        <v>46280</v>
      </c>
      <c r="F437" t="inlineStr">
        <is>
          <t>JÖNKÖPINGS LÄN</t>
        </is>
      </c>
      <c r="G437" t="inlineStr">
        <is>
          <t>NÄSSJÖ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45380</v>
      </c>
      <c r="E438" s="1" t="n">
        <v>46280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46280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46280</v>
      </c>
      <c r="F440" t="inlineStr">
        <is>
          <t>JÖNKÖPINGS LÄN</t>
        </is>
      </c>
      <c r="G440" t="inlineStr">
        <is>
          <t>NÄSSJÖ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45257</v>
      </c>
      <c r="E441" s="1" t="n">
        <v>46280</v>
      </c>
      <c r="F441" t="inlineStr">
        <is>
          <t>JÖNKÖPINGS LÄN</t>
        </is>
      </c>
      <c r="G441" t="inlineStr">
        <is>
          <t>NÄSSJÖ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45302</v>
      </c>
      <c r="E442" s="1" t="n">
        <v>46280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46280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45693</v>
      </c>
      <c r="E444" s="1" t="n">
        <v>46280</v>
      </c>
      <c r="F444" t="inlineStr">
        <is>
          <t>JÖNKÖPINGS LÄN</t>
        </is>
      </c>
      <c r="G444" t="inlineStr">
        <is>
          <t>NÄSSJÖ</t>
        </is>
      </c>
      <c r="I444" t="n">
        <v>9.300000000000001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46280</v>
      </c>
      <c r="F445" t="inlineStr">
        <is>
          <t>JÖNKÖPINGS LÄN</t>
        </is>
      </c>
      <c r="G445" t="inlineStr">
        <is>
          <t>NÄSSJÖ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50718-2021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44460</v>
      </c>
      <c r="E446" s="1" t="n">
        <v>46280</v>
      </c>
      <c r="F446" t="inlineStr">
        <is>
          <t>JÖNKÖPINGS LÄN</t>
        </is>
      </c>
      <c r="G446" t="inlineStr">
        <is>
          <t>NÄSSJÖ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15829-2024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45404</v>
      </c>
      <c r="E447" s="1" t="n">
        <v>46280</v>
      </c>
      <c r="F447" t="inlineStr">
        <is>
          <t>JÖNKÖPINGS LÄN</t>
        </is>
      </c>
      <c r="G447" t="inlineStr">
        <is>
          <t>NÄSSJÖ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50072-2023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46280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46280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46280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62002-2023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46280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52605-2022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44874</v>
      </c>
      <c r="E452" s="1" t="n">
        <v>46280</v>
      </c>
      <c r="F452" t="inlineStr">
        <is>
          <t>JÖNKÖPINGS LÄN</t>
        </is>
      </c>
      <c r="G452" t="inlineStr">
        <is>
          <t>NÄSSJÖ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53636-2024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46280</v>
      </c>
      <c r="F453" t="inlineStr">
        <is>
          <t>JÖNKÖPINGS LÄN</t>
        </is>
      </c>
      <c r="G453" t="inlineStr">
        <is>
          <t>NÄSSJÖ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45246</v>
      </c>
      <c r="E454" s="1" t="n">
        <v>46280</v>
      </c>
      <c r="F454" t="inlineStr">
        <is>
          <t>JÖNKÖPINGS LÄN</t>
        </is>
      </c>
      <c r="G454" t="inlineStr">
        <is>
          <t>NÄSSJÖ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57678-2021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44484</v>
      </c>
      <c r="E455" s="1" t="n">
        <v>46280</v>
      </c>
      <c r="F455" t="inlineStr">
        <is>
          <t>JÖNKÖPINGS LÄN</t>
        </is>
      </c>
      <c r="G455" t="inlineStr">
        <is>
          <t>NÄSSJÖ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46280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15819-2022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44664</v>
      </c>
      <c r="E457" s="1" t="n">
        <v>46280</v>
      </c>
      <c r="F457" t="inlineStr">
        <is>
          <t>JÖNKÖPINGS LÄN</t>
        </is>
      </c>
      <c r="G457" t="inlineStr">
        <is>
          <t>NÄSSJÖ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46280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44902</v>
      </c>
      <c r="E459" s="1" t="n">
        <v>46280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46280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48465-2024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45590</v>
      </c>
      <c r="E461" s="1" t="n">
        <v>46280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49440-2024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46280</v>
      </c>
      <c r="F462" t="inlineStr">
        <is>
          <t>JÖNKÖPINGS LÄN</t>
        </is>
      </c>
      <c r="G462" t="inlineStr">
        <is>
          <t>NÄSSJÖ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46280</v>
      </c>
      <c r="F463" t="inlineStr">
        <is>
          <t>JÖNKÖPINGS LÄN</t>
        </is>
      </c>
      <c r="G463" t="inlineStr">
        <is>
          <t>NÄSSJÖ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46280</v>
      </c>
      <c r="F464" t="inlineStr">
        <is>
          <t>JÖNKÖPINGS LÄN</t>
        </is>
      </c>
      <c r="G464" t="inlineStr">
        <is>
          <t>NÄSSJÖ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45756</v>
      </c>
      <c r="E465" s="1" t="n">
        <v>46280</v>
      </c>
      <c r="F465" t="inlineStr">
        <is>
          <t>JÖNKÖPINGS LÄN</t>
        </is>
      </c>
      <c r="G465" t="inlineStr">
        <is>
          <t>NÄSSJÖ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38658-2022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44813</v>
      </c>
      <c r="E466" s="1" t="n">
        <v>46280</v>
      </c>
      <c r="F466" t="inlineStr">
        <is>
          <t>JÖNKÖPINGS LÄN</t>
        </is>
      </c>
      <c r="G466" t="inlineStr">
        <is>
          <t>NÄSSJÖ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38783-2022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44816</v>
      </c>
      <c r="E467" s="1" t="n">
        <v>46280</v>
      </c>
      <c r="F467" t="inlineStr">
        <is>
          <t>JÖNKÖPINGS LÄN</t>
        </is>
      </c>
      <c r="G467" t="inlineStr">
        <is>
          <t>NÄSSJÖ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45169</v>
      </c>
      <c r="E468" s="1" t="n">
        <v>46280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45734</v>
      </c>
      <c r="E469" s="1" t="n">
        <v>46280</v>
      </c>
      <c r="F469" t="inlineStr">
        <is>
          <t>JÖNKÖPINGS LÄN</t>
        </is>
      </c>
      <c r="G469" t="inlineStr">
        <is>
          <t>NÄSSJÖ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46280</v>
      </c>
      <c r="F470" t="inlineStr">
        <is>
          <t>JÖNKÖPINGS LÄN</t>
        </is>
      </c>
      <c r="G470" t="inlineStr">
        <is>
          <t>NÄSSJÖ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11363-2024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46280</v>
      </c>
      <c r="F471" t="inlineStr">
        <is>
          <t>JÖNKÖPINGS LÄN</t>
        </is>
      </c>
      <c r="G471" t="inlineStr">
        <is>
          <t>NÄSSJÖ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45372</v>
      </c>
      <c r="E472" s="1" t="n">
        <v>46280</v>
      </c>
      <c r="F472" t="inlineStr">
        <is>
          <t>JÖNKÖPINGS LÄN</t>
        </is>
      </c>
      <c r="G472" t="inlineStr">
        <is>
          <t>NÄSSJÖ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50836-2021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44460</v>
      </c>
      <c r="E473" s="1" t="n">
        <v>46280</v>
      </c>
      <c r="F473" t="inlineStr">
        <is>
          <t>JÖNKÖPINGS LÄN</t>
        </is>
      </c>
      <c r="G473" t="inlineStr">
        <is>
          <t>NÄSSJÖ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45132</v>
      </c>
      <c r="E474" s="1" t="n">
        <v>46280</v>
      </c>
      <c r="F474" t="inlineStr">
        <is>
          <t>JÖNKÖPINGS LÄN</t>
        </is>
      </c>
      <c r="G474" t="inlineStr">
        <is>
          <t>NÄSSJÖ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38795-2022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46280</v>
      </c>
      <c r="F475" t="inlineStr">
        <is>
          <t>JÖNKÖPINGS LÄN</t>
        </is>
      </c>
      <c r="G475" t="inlineStr">
        <is>
          <t>NÄSSJÖ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44972</v>
      </c>
      <c r="E476" s="1" t="n">
        <v>46280</v>
      </c>
      <c r="F476" t="inlineStr">
        <is>
          <t>JÖNKÖPINGS LÄN</t>
        </is>
      </c>
      <c r="G476" t="inlineStr">
        <is>
          <t>NÄSSJÖ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46280</v>
      </c>
      <c r="F477" t="inlineStr">
        <is>
          <t>JÖNKÖPINGS LÄN</t>
        </is>
      </c>
      <c r="G477" t="inlineStr">
        <is>
          <t>NÄSSJÖ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45373</v>
      </c>
      <c r="E478" s="1" t="n">
        <v>46280</v>
      </c>
      <c r="F478" t="inlineStr">
        <is>
          <t>JÖNKÖPINGS LÄN</t>
        </is>
      </c>
      <c r="G478" t="inlineStr">
        <is>
          <t>NÄSSJÖ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14486-2024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45394</v>
      </c>
      <c r="E479" s="1" t="n">
        <v>46280</v>
      </c>
      <c r="F479" t="inlineStr">
        <is>
          <t>JÖNKÖPINGS LÄN</t>
        </is>
      </c>
      <c r="G479" t="inlineStr">
        <is>
          <t>NÄSSJÖ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46280</v>
      </c>
      <c r="F480" t="inlineStr">
        <is>
          <t>JÖNKÖPINGS LÄN</t>
        </is>
      </c>
      <c r="G480" t="inlineStr">
        <is>
          <t>NÄSSJÖ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52669-2023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45219</v>
      </c>
      <c r="E481" s="1" t="n">
        <v>46280</v>
      </c>
      <c r="F481" t="inlineStr">
        <is>
          <t>JÖNKÖPINGS LÄN</t>
        </is>
      </c>
      <c r="G481" t="inlineStr">
        <is>
          <t>NÄSSJÖ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45695</v>
      </c>
      <c r="E482" s="1" t="n">
        <v>46280</v>
      </c>
      <c r="F482" t="inlineStr">
        <is>
          <t>JÖNKÖPINGS LÄN</t>
        </is>
      </c>
      <c r="G482" t="inlineStr">
        <is>
          <t>NÄSSJÖ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54514-2024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45617</v>
      </c>
      <c r="E483" s="1" t="n">
        <v>46280</v>
      </c>
      <c r="F483" t="inlineStr">
        <is>
          <t>JÖNKÖPINGS LÄN</t>
        </is>
      </c>
      <c r="G483" t="inlineStr">
        <is>
          <t>NÄSSJÖ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44564</v>
      </c>
      <c r="E484" s="1" t="n">
        <v>46280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44985</v>
      </c>
      <c r="E485" s="1" t="n">
        <v>46280</v>
      </c>
      <c r="F485" t="inlineStr">
        <is>
          <t>JÖNKÖPINGS LÄN</t>
        </is>
      </c>
      <c r="G485" t="inlineStr">
        <is>
          <t>NÄSSJÖ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11355-2024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46280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45372</v>
      </c>
      <c r="E487" s="1" t="n">
        <v>46280</v>
      </c>
      <c r="F487" t="inlineStr">
        <is>
          <t>JÖNKÖPINGS LÄN</t>
        </is>
      </c>
      <c r="G487" t="inlineStr">
        <is>
          <t>NÄSSJÖ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46280</v>
      </c>
      <c r="F488" t="inlineStr">
        <is>
          <t>JÖNKÖPINGS LÄN</t>
        </is>
      </c>
      <c r="G488" t="inlineStr">
        <is>
          <t>NÄSSJÖ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44766-2023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45190</v>
      </c>
      <c r="E489" s="1" t="n">
        <v>46280</v>
      </c>
      <c r="F489" t="inlineStr">
        <is>
          <t>JÖNKÖPINGS LÄN</t>
        </is>
      </c>
      <c r="G489" t="inlineStr">
        <is>
          <t>NÄSSJÖ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9693-2022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44617</v>
      </c>
      <c r="E490" s="1" t="n">
        <v>46280</v>
      </c>
      <c r="F490" t="inlineStr">
        <is>
          <t>JÖNKÖPINGS LÄN</t>
        </is>
      </c>
      <c r="G490" t="inlineStr">
        <is>
          <t>NÄSSJÖ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46280</v>
      </c>
      <c r="F491" t="inlineStr">
        <is>
          <t>JÖNKÖPINGS LÄN</t>
        </is>
      </c>
      <c r="G491" t="inlineStr">
        <is>
          <t>NÄSSJÖ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46280</v>
      </c>
      <c r="F492" t="inlineStr">
        <is>
          <t>JÖNKÖPINGS LÄN</t>
        </is>
      </c>
      <c r="G492" t="inlineStr">
        <is>
          <t>NÄSSJÖ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45109</v>
      </c>
      <c r="E493" s="1" t="n">
        <v>46280</v>
      </c>
      <c r="F493" t="inlineStr">
        <is>
          <t>JÖNKÖPINGS LÄN</t>
        </is>
      </c>
      <c r="G493" t="inlineStr">
        <is>
          <t>NÄSSJÖ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14832-2023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45014</v>
      </c>
      <c r="E494" s="1" t="n">
        <v>46280</v>
      </c>
      <c r="F494" t="inlineStr">
        <is>
          <t>JÖNKÖPINGS LÄN</t>
        </is>
      </c>
      <c r="G494" t="inlineStr">
        <is>
          <t>NÄSSJÖ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44988</v>
      </c>
      <c r="E495" s="1" t="n">
        <v>46280</v>
      </c>
      <c r="F495" t="inlineStr">
        <is>
          <t>JÖNKÖPINGS LÄN</t>
        </is>
      </c>
      <c r="G495" t="inlineStr">
        <is>
          <t>NÄSSJÖ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46280</v>
      </c>
      <c r="F496" t="inlineStr">
        <is>
          <t>JÖNKÖPINGS LÄN</t>
        </is>
      </c>
      <c r="G496" t="inlineStr">
        <is>
          <t>NÄSSJÖ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56869-2022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46280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45695</v>
      </c>
      <c r="E498" s="1" t="n">
        <v>46280</v>
      </c>
      <c r="F498" t="inlineStr">
        <is>
          <t>JÖNKÖPINGS LÄN</t>
        </is>
      </c>
      <c r="G498" t="inlineStr">
        <is>
          <t>NÄSSJÖ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45408</v>
      </c>
      <c r="E499" s="1" t="n">
        <v>46280</v>
      </c>
      <c r="F499" t="inlineStr">
        <is>
          <t>JÖNKÖPINGS LÄN</t>
        </is>
      </c>
      <c r="G499" t="inlineStr">
        <is>
          <t>NÄSSJÖ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46280</v>
      </c>
      <c r="F500" t="inlineStr">
        <is>
          <t>JÖNKÖPINGS LÄN</t>
        </is>
      </c>
      <c r="G500" t="inlineStr">
        <is>
          <t>NÄSSJÖ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41325-2022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44826</v>
      </c>
      <c r="E501" s="1" t="n">
        <v>46280</v>
      </c>
      <c r="F501" t="inlineStr">
        <is>
          <t>JÖNKÖPINGS LÄN</t>
        </is>
      </c>
      <c r="G501" t="inlineStr">
        <is>
          <t>NÄSSJÖ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7736-2022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46280</v>
      </c>
      <c r="F502" t="inlineStr">
        <is>
          <t>JÖNKÖPINGS LÄN</t>
        </is>
      </c>
      <c r="G502" t="inlineStr">
        <is>
          <t>NÄSSJÖ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8339-2023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44976</v>
      </c>
      <c r="E503" s="1" t="n">
        <v>46280</v>
      </c>
      <c r="F503" t="inlineStr">
        <is>
          <t>JÖNKÖPINGS LÄN</t>
        </is>
      </c>
      <c r="G503" t="inlineStr">
        <is>
          <t>NÄSSJÖ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49878-2023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45213</v>
      </c>
      <c r="E504" s="1" t="n">
        <v>46280</v>
      </c>
      <c r="F504" t="inlineStr">
        <is>
          <t>JÖNKÖPINGS LÄN</t>
        </is>
      </c>
      <c r="G504" t="inlineStr">
        <is>
          <t>NÄSSJÖ</t>
        </is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45343</v>
      </c>
      <c r="E505" s="1" t="n">
        <v>46280</v>
      </c>
      <c r="F505" t="inlineStr">
        <is>
          <t>JÖNKÖPINGS LÄN</t>
        </is>
      </c>
      <c r="G505" t="inlineStr">
        <is>
          <t>NÄSSJÖ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53960-2022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44881</v>
      </c>
      <c r="E506" s="1" t="n">
        <v>46280</v>
      </c>
      <c r="F506" t="inlineStr">
        <is>
          <t>JÖNKÖPINGS LÄN</t>
        </is>
      </c>
      <c r="G506" t="inlineStr">
        <is>
          <t>NÄSSJÖ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49376-2021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44454</v>
      </c>
      <c r="E507" s="1" t="n">
        <v>46280</v>
      </c>
      <c r="F507" t="inlineStr">
        <is>
          <t>JÖNKÖPINGS LÄN</t>
        </is>
      </c>
      <c r="G507" t="inlineStr">
        <is>
          <t>NÄSSJÖ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45377</v>
      </c>
      <c r="E508" s="1" t="n">
        <v>46280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46280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46280</v>
      </c>
      <c r="F510" t="inlineStr">
        <is>
          <t>JÖNKÖPINGS LÄN</t>
        </is>
      </c>
      <c r="G510" t="inlineStr">
        <is>
          <t>NÄSSJÖ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45700</v>
      </c>
      <c r="E511" s="1" t="n">
        <v>46280</v>
      </c>
      <c r="F511" t="inlineStr">
        <is>
          <t>JÖNKÖPINGS LÄN</t>
        </is>
      </c>
      <c r="G511" t="inlineStr">
        <is>
          <t>NÄSSJÖ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46280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44984</v>
      </c>
      <c r="E513" s="1" t="n">
        <v>46280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45648-2024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46280</v>
      </c>
      <c r="F514" t="inlineStr">
        <is>
          <t>JÖNKÖPINGS LÄN</t>
        </is>
      </c>
      <c r="G514" t="inlineStr">
        <is>
          <t>NÄSSJÖ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43697-2023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46280</v>
      </c>
      <c r="F515" t="inlineStr">
        <is>
          <t>JÖNKÖPINGS LÄN</t>
        </is>
      </c>
      <c r="G515" t="inlineStr">
        <is>
          <t>NÄSSJÖ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45308</v>
      </c>
      <c r="E516" s="1" t="n">
        <v>46280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46280</v>
      </c>
      <c r="F517" t="inlineStr">
        <is>
          <t>JÖNKÖPINGS LÄN</t>
        </is>
      </c>
      <c r="G517" t="inlineStr">
        <is>
          <t>NÄSSJÖ</t>
        </is>
      </c>
      <c r="H517" t="inlineStr">
        <is>
          <t>Kommuner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55601-2023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46280</v>
      </c>
      <c r="F518" t="inlineStr">
        <is>
          <t>JÖNKÖPINGS LÄN</t>
        </is>
      </c>
      <c r="G518" t="inlineStr">
        <is>
          <t>NÄSSJÖ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63630-2023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45275</v>
      </c>
      <c r="E519" s="1" t="n">
        <v>46280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46280</v>
      </c>
      <c r="F520" t="inlineStr">
        <is>
          <t>JÖNKÖPINGS LÄN</t>
        </is>
      </c>
      <c r="G520" t="inlineStr">
        <is>
          <t>NÄSSJÖ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12576-2025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45732</v>
      </c>
      <c r="E521" s="1" t="n">
        <v>46280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63628-2023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46280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45099</v>
      </c>
      <c r="E523" s="1" t="n">
        <v>46280</v>
      </c>
      <c r="F523" t="inlineStr">
        <is>
          <t>JÖNKÖPINGS LÄN</t>
        </is>
      </c>
      <c r="G523" t="inlineStr">
        <is>
          <t>NÄSSJÖ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45056</v>
      </c>
      <c r="E524" s="1" t="n">
        <v>46280</v>
      </c>
      <c r="F524" t="inlineStr">
        <is>
          <t>JÖNKÖPINGS LÄN</t>
        </is>
      </c>
      <c r="G524" t="inlineStr">
        <is>
          <t>NÄSSJÖ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46280</v>
      </c>
      <c r="F525" t="inlineStr">
        <is>
          <t>JÖNKÖPINGS LÄN</t>
        </is>
      </c>
      <c r="G525" t="inlineStr">
        <is>
          <t>NÄSSJÖ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15993-2022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44665</v>
      </c>
      <c r="E526" s="1" t="n">
        <v>46280</v>
      </c>
      <c r="F526" t="inlineStr">
        <is>
          <t>JÖNKÖPINGS LÄN</t>
        </is>
      </c>
      <c r="G526" t="inlineStr">
        <is>
          <t>NÄSSJÖ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52236-2021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44463</v>
      </c>
      <c r="E527" s="1" t="n">
        <v>46280</v>
      </c>
      <c r="F527" t="inlineStr">
        <is>
          <t>JÖNKÖPINGS LÄN</t>
        </is>
      </c>
      <c r="G527" t="inlineStr">
        <is>
          <t>NÄSSJÖ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44848</v>
      </c>
      <c r="E528" s="1" t="n">
        <v>46280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45309</v>
      </c>
      <c r="E529" s="1" t="n">
        <v>46280</v>
      </c>
      <c r="F529" t="inlineStr">
        <is>
          <t>JÖNKÖPINGS LÄN</t>
        </is>
      </c>
      <c r="G529" t="inlineStr">
        <is>
          <t>NÄSSJÖ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46280</v>
      </c>
      <c r="F530" t="inlineStr">
        <is>
          <t>JÖNKÖPINGS LÄN</t>
        </is>
      </c>
      <c r="G530" t="inlineStr">
        <is>
          <t>NÄSSJÖ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52671-2022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44874</v>
      </c>
      <c r="E531" s="1" t="n">
        <v>46280</v>
      </c>
      <c r="F531" t="inlineStr">
        <is>
          <t>JÖNKÖPINGS LÄN</t>
        </is>
      </c>
      <c r="G531" t="inlineStr">
        <is>
          <t>NÄSSJÖ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63087-2023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45273</v>
      </c>
      <c r="E532" s="1" t="n">
        <v>46280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46280</v>
      </c>
      <c r="F533" t="inlineStr">
        <is>
          <t>JÖNKÖPINGS LÄN</t>
        </is>
      </c>
      <c r="G533" t="inlineStr">
        <is>
          <t>NÄSSJÖ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45734</v>
      </c>
      <c r="E534" s="1" t="n">
        <v>46280</v>
      </c>
      <c r="F534" t="inlineStr">
        <is>
          <t>JÖNKÖPINGS LÄN</t>
        </is>
      </c>
      <c r="G534" t="inlineStr">
        <is>
          <t>NÄSSJÖ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45163</v>
      </c>
      <c r="E535" s="1" t="n">
        <v>46280</v>
      </c>
      <c r="F535" t="inlineStr">
        <is>
          <t>JÖNKÖPINGS LÄN</t>
        </is>
      </c>
      <c r="G535" t="inlineStr">
        <is>
          <t>NÄSSJÖ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46280</v>
      </c>
      <c r="F536" t="inlineStr">
        <is>
          <t>JÖNKÖPINGS LÄN</t>
        </is>
      </c>
      <c r="G536" t="inlineStr">
        <is>
          <t>NÄSSJÖ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46280</v>
      </c>
      <c r="F537" t="inlineStr">
        <is>
          <t>JÖNKÖPINGS LÄN</t>
        </is>
      </c>
      <c r="G537" t="inlineStr">
        <is>
          <t>NÄSSJÖ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46280</v>
      </c>
      <c r="F538" t="inlineStr">
        <is>
          <t>JÖNKÖPINGS LÄN</t>
        </is>
      </c>
      <c r="G538" t="inlineStr">
        <is>
          <t>NÄSSJÖ</t>
        </is>
      </c>
      <c r="H538" t="inlineStr">
        <is>
          <t>Kyrkan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44902</v>
      </c>
      <c r="E539" s="1" t="n">
        <v>46280</v>
      </c>
      <c r="F539" t="inlineStr">
        <is>
          <t>JÖNKÖPINGS LÄN</t>
        </is>
      </c>
      <c r="G539" t="inlineStr">
        <is>
          <t>NÄSSJÖ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44902</v>
      </c>
      <c r="E540" s="1" t="n">
        <v>46280</v>
      </c>
      <c r="F540" t="inlineStr">
        <is>
          <t>JÖNKÖPINGS LÄN</t>
        </is>
      </c>
      <c r="G540" t="inlineStr">
        <is>
          <t>NÄSSJÖ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14656-2023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45013</v>
      </c>
      <c r="E541" s="1" t="n">
        <v>46280</v>
      </c>
      <c r="F541" t="inlineStr">
        <is>
          <t>JÖNKÖPINGS LÄN</t>
        </is>
      </c>
      <c r="G541" t="inlineStr">
        <is>
          <t>NÄSSJÖ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30001-2023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45109</v>
      </c>
      <c r="E542" s="1" t="n">
        <v>46280</v>
      </c>
      <c r="F542" t="inlineStr">
        <is>
          <t>JÖNKÖPINGS LÄN</t>
        </is>
      </c>
      <c r="G542" t="inlineStr">
        <is>
          <t>NÄSSJÖ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50734-2024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45602</v>
      </c>
      <c r="E543" s="1" t="n">
        <v>46280</v>
      </c>
      <c r="F543" t="inlineStr">
        <is>
          <t>JÖNKÖPINGS LÄN</t>
        </is>
      </c>
      <c r="G543" t="inlineStr">
        <is>
          <t>NÄSSJÖ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46280</v>
      </c>
      <c r="F544" t="inlineStr">
        <is>
          <t>JÖNKÖPINGS LÄN</t>
        </is>
      </c>
      <c r="G544" t="inlineStr">
        <is>
          <t>NÄSSJÖ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7145-2025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46280</v>
      </c>
      <c r="F545" t="inlineStr">
        <is>
          <t>JÖNKÖPINGS LÄN</t>
        </is>
      </c>
      <c r="G545" t="inlineStr">
        <is>
          <t>NÄSSJÖ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46280</v>
      </c>
      <c r="F546" t="inlineStr">
        <is>
          <t>JÖNKÖPINGS LÄN</t>
        </is>
      </c>
      <c r="G546" t="inlineStr">
        <is>
          <t>NÄSSJÖ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46280</v>
      </c>
      <c r="F547" t="inlineStr">
        <is>
          <t>JÖNKÖPINGS LÄN</t>
        </is>
      </c>
      <c r="G547" t="inlineStr">
        <is>
          <t>NÄSSJÖ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44965</v>
      </c>
      <c r="E548" s="1" t="n">
        <v>46280</v>
      </c>
      <c r="F548" t="inlineStr">
        <is>
          <t>JÖNKÖPINGS LÄN</t>
        </is>
      </c>
      <c r="G548" t="inlineStr">
        <is>
          <t>NÄSSJÖ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39485-2024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45551</v>
      </c>
      <c r="E549" s="1" t="n">
        <v>46280</v>
      </c>
      <c r="F549" t="inlineStr">
        <is>
          <t>JÖNKÖPINGS LÄN</t>
        </is>
      </c>
      <c r="G549" t="inlineStr">
        <is>
          <t>NÄSSJÖ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63695-2023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45275</v>
      </c>
      <c r="E550" s="1" t="n">
        <v>46280</v>
      </c>
      <c r="F550" t="inlineStr">
        <is>
          <t>JÖNKÖPINGS LÄN</t>
        </is>
      </c>
      <c r="G550" t="inlineStr">
        <is>
          <t>NÄSSJÖ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63743-2023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45277</v>
      </c>
      <c r="E551" s="1" t="n">
        <v>46280</v>
      </c>
      <c r="F551" t="inlineStr">
        <is>
          <t>JÖNKÖPINGS LÄN</t>
        </is>
      </c>
      <c r="G551" t="inlineStr">
        <is>
          <t>NÄSSJÖ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52972-2024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46280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45776</v>
      </c>
      <c r="E553" s="1" t="n">
        <v>46280</v>
      </c>
      <c r="F553" t="inlineStr">
        <is>
          <t>JÖNKÖPINGS LÄN</t>
        </is>
      </c>
      <c r="G553" t="inlineStr">
        <is>
          <t>NÄSSJÖ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45615</v>
      </c>
      <c r="E554" s="1" t="n">
        <v>46280</v>
      </c>
      <c r="F554" t="inlineStr">
        <is>
          <t>JÖNKÖPINGS LÄN</t>
        </is>
      </c>
      <c r="G554" t="inlineStr">
        <is>
          <t>NÄSSJÖ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21989-2025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46280</v>
      </c>
      <c r="F555" t="inlineStr">
        <is>
          <t>JÖNKÖPINGS LÄN</t>
        </is>
      </c>
      <c r="G555" t="inlineStr">
        <is>
          <t>NÄSSJÖ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21996-2025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46280</v>
      </c>
      <c r="F556" t="inlineStr">
        <is>
          <t>JÖNKÖPINGS LÄN</t>
        </is>
      </c>
      <c r="G556" t="inlineStr">
        <is>
          <t>NÄSSJÖ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50020-2024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45599</v>
      </c>
      <c r="E557" s="1" t="n">
        <v>46280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7175-2022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44605</v>
      </c>
      <c r="E558" s="1" t="n">
        <v>46280</v>
      </c>
      <c r="F558" t="inlineStr">
        <is>
          <t>JÖNKÖPINGS LÄN</t>
        </is>
      </c>
      <c r="G558" t="inlineStr">
        <is>
          <t>NÄSSJÖ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3647-2024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45320</v>
      </c>
      <c r="E559" s="1" t="n">
        <v>46280</v>
      </c>
      <c r="F559" t="inlineStr">
        <is>
          <t>JÖNKÖPINGS LÄN</t>
        </is>
      </c>
      <c r="G559" t="inlineStr">
        <is>
          <t>NÄSSJÖ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46280</v>
      </c>
      <c r="F560" t="inlineStr">
        <is>
          <t>JÖNKÖPINGS LÄN</t>
        </is>
      </c>
      <c r="G560" t="inlineStr">
        <is>
          <t>NÄSSJÖ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2371-2023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45109</v>
      </c>
      <c r="E561" s="1" t="n">
        <v>46280</v>
      </c>
      <c r="F561" t="inlineStr">
        <is>
          <t>JÖNKÖPINGS LÄN</t>
        </is>
      </c>
      <c r="G561" t="inlineStr">
        <is>
          <t>NÄSSJÖ</t>
        </is>
      </c>
      <c r="I561" t="n">
        <v>18.3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45108</v>
      </c>
      <c r="E562" s="1" t="n">
        <v>46280</v>
      </c>
      <c r="F562" t="inlineStr">
        <is>
          <t>JÖNKÖPINGS LÄN</t>
        </is>
      </c>
      <c r="G562" t="inlineStr">
        <is>
          <t>NÄSSJÖ</t>
        </is>
      </c>
      <c r="I562" t="n">
        <v>37.6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46280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46280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46280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46280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46280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46280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46280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46280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46280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46280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46280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46280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46280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46280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46280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46280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46280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46280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46280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46280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46280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46280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46280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46280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2026-09-15T08:14:34Z</dcterms:created>
  <dcterms:modified xmlns:dcterms="http://purl.org/dc/terms/" xmlns:xsi="http://www.w3.org/2001/XMLSchema-instance" xsi:type="dcterms:W3CDTF">2026-09-15T08:14:35Z</dcterms:modified>
</cp:coreProperties>
</file>