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46283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46283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46283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46283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46283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46283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46283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46283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46283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46283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46283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46283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46283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46283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46283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46283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46283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46283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46283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46283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46283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46283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15048-2026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46283</v>
      </c>
      <c r="F30" t="inlineStr">
        <is>
          <t>JÖNKÖPINGS LÄN</t>
        </is>
      </c>
      <c r="G30" t="inlineStr">
        <is>
          <t>NÄSSJÖ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15048-2026 artfynd.xlsx", "A 15048-2026")</f>
        <v/>
      </c>
      <c r="X30">
        <f>HYPERLINK("https://klasma.github.io/Logging_0682/kartor/A 15048-2026 karta.png", "A 15048-2026")</f>
        <v/>
      </c>
      <c r="Y30">
        <f>HYPERLINK("https://klasma.github.io/Logging_0682/kartor_geotiff/A 15048-2026 georefererad karta.tif", "A 15048-2026")</f>
        <v/>
      </c>
      <c r="AA30">
        <f>HYPERLINK("https://klasma.github.io/Logging_0682/klagomål/A 15048-2026 FSC-klagomål.docx", "A 15048-2026")</f>
        <v/>
      </c>
      <c r="AB30">
        <f>HYPERLINK("https://klasma.github.io/Logging_0682/klagomålsmail/A 15048-2026 FSC-klagomål mail.docx", "A 15048-2026")</f>
        <v/>
      </c>
      <c r="AC30">
        <f>HYPERLINK("https://klasma.github.io/Logging_0682/tillsyn/A 15048-2026 tillsynsbegäran.docx", "A 15048-2026")</f>
        <v/>
      </c>
      <c r="AD30">
        <f>HYPERLINK("https://klasma.github.io/Logging_0682/tillsynsmail/A 15048-2026 tillsynsbegäran mail.docx", "A 15048-2026")</f>
        <v/>
      </c>
    </row>
    <row r="31" ht="15" customHeight="1">
      <c r="A31" t="inlineStr">
        <is>
          <t>A 15845-2026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46107</v>
      </c>
      <c r="E31" s="1" t="n">
        <v>46283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15845-2026 artfynd.xlsx", "A 15845-2026")</f>
        <v/>
      </c>
      <c r="X31">
        <f>HYPERLINK("https://klasma.github.io/Logging_0682/kartor/A 15845-2026 karta.png", "A 15845-2026")</f>
        <v/>
      </c>
      <c r="Y31">
        <f>HYPERLINK("https://klasma.github.io/Logging_0682/kartor_geotiff/A 15845-2026 georefererad karta.tif", "A 15845-2026")</f>
        <v/>
      </c>
      <c r="AA31">
        <f>HYPERLINK("https://klasma.github.io/Logging_0682/klagomål/A 15845-2026 FSC-klagomål.docx", "A 15845-2026")</f>
        <v/>
      </c>
      <c r="AB31">
        <f>HYPERLINK("https://klasma.github.io/Logging_0682/klagomålsmail/A 15845-2026 FSC-klagomål mail.docx", "A 15845-2026")</f>
        <v/>
      </c>
      <c r="AC31">
        <f>HYPERLINK("https://klasma.github.io/Logging_0682/tillsyn/A 15845-2026 tillsynsbegäran.docx", "A 15845-2026")</f>
        <v/>
      </c>
      <c r="AD31">
        <f>HYPERLINK("https://klasma.github.io/Logging_0682/tillsynsmail/A 15845-2026 tillsynsbegäran mail.docx", "A 15845-2026")</f>
        <v/>
      </c>
      <c r="AE31">
        <f>HYPERLINK("https://klasma.github.io/Logging_0682/fåglar/A 15845-2026 prioriterade fågelarter.docx", "A 15845-2026")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46283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18844-2026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46129</v>
      </c>
      <c r="E33" s="1" t="n">
        <v>46283</v>
      </c>
      <c r="F33" t="inlineStr">
        <is>
          <t>JÖNKÖPINGS LÄN</t>
        </is>
      </c>
      <c r="G33" t="inlineStr">
        <is>
          <t>NÄSSJÖ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HYPERLINK("https://klasma.github.io/Logging_0682/artfynd/A 18844-2026 artfynd.xlsx", "A 18844-2026")</f>
        <v/>
      </c>
      <c r="X33">
        <f>HYPERLINK("https://klasma.github.io/Logging_0682/kartor/A 18844-2026 karta.png", "A 18844-2026")</f>
        <v/>
      </c>
      <c r="Y33">
        <f>HYPERLINK("https://klasma.github.io/Logging_0682/kartor_geotiff/A 18844-2026 georefererad karta.tif", "A 18844-2026")</f>
        <v/>
      </c>
      <c r="AA33">
        <f>HYPERLINK("https://klasma.github.io/Logging_0682/klagomål/A 18844-2026 FSC-klagomål.docx", "A 18844-2026")</f>
        <v/>
      </c>
      <c r="AB33">
        <f>HYPERLINK("https://klasma.github.io/Logging_0682/klagomålsmail/A 18844-2026 FSC-klagomål mail.docx", "A 18844-2026")</f>
        <v/>
      </c>
      <c r="AC33">
        <f>HYPERLINK("https://klasma.github.io/Logging_0682/tillsyn/A 18844-2026 tillsynsbegäran.docx", "A 18844-2026")</f>
        <v/>
      </c>
      <c r="AD33">
        <f>HYPERLINK("https://klasma.github.io/Logging_0682/tillsynsmail/A 18844-2026 tillsynsbegäran mail.docx", "A 18844-2026")</f>
        <v/>
      </c>
    </row>
    <row r="34" ht="15" customHeight="1">
      <c r="A34" t="inlineStr">
        <is>
          <t>A 41327-2025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45899</v>
      </c>
      <c r="E34" s="1" t="n">
        <v>46283</v>
      </c>
      <c r="F34" t="inlineStr">
        <is>
          <t>JÖNKÖPINGS LÄN</t>
        </is>
      </c>
      <c r="G34" t="inlineStr">
        <is>
          <t>NÄSSJÖ</t>
        </is>
      </c>
      <c r="I34" t="n">
        <v>5.6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41327-2025 artfynd.xlsx", "A 41327-2025")</f>
        <v/>
      </c>
      <c r="X34">
        <f>HYPERLINK("https://klasma.github.io/Logging_0682/kartor/A 41327-2025 karta.png", "A 41327-2025")</f>
        <v/>
      </c>
      <c r="Y34">
        <f>HYPERLINK("https://klasma.github.io/Logging_0682/kartor_geotiff/A 41327-2025 georefererad karta.tif", "A 41327-2025")</f>
        <v/>
      </c>
      <c r="AA34">
        <f>HYPERLINK("https://klasma.github.io/Logging_0682/klagomål/A 41327-2025 FSC-klagomål.docx", "A 41327-2025")</f>
        <v/>
      </c>
      <c r="AB34">
        <f>HYPERLINK("https://klasma.github.io/Logging_0682/klagomålsmail/A 41327-2025 FSC-klagomål mail.docx", "A 41327-2025")</f>
        <v/>
      </c>
      <c r="AC34">
        <f>HYPERLINK("https://klasma.github.io/Logging_0682/tillsyn/A 41327-2025 tillsynsbegäran.docx", "A 41327-2025")</f>
        <v/>
      </c>
      <c r="AD34">
        <f>HYPERLINK("https://klasma.github.io/Logging_0682/tillsynsmail/A 41327-2025 tillsynsbegäran mail.docx", "A 41327-2025")</f>
        <v/>
      </c>
      <c r="AE34">
        <f>HYPERLINK("https://klasma.github.io/Logging_0682/fåglar/A 41327-2025 prioriterade fågelarter.docx", "A 41327-2025")</f>
        <v/>
      </c>
    </row>
    <row r="35" ht="15" customHeight="1">
      <c r="A35" t="inlineStr">
        <is>
          <t>A 35328-2024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45530</v>
      </c>
      <c r="E35" s="1" t="n">
        <v>46283</v>
      </c>
      <c r="F35" t="inlineStr">
        <is>
          <t>JÖNKÖPINGS LÄN</t>
        </is>
      </c>
      <c r="G35" t="inlineStr">
        <is>
          <t>NÄSSJÖ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Kungsfågel</t>
        </is>
      </c>
      <c r="W35">
        <f>HYPERLINK("https://klasma.github.io/Logging_0682/artfynd/A 35328-2024 artfynd.xlsx", "A 35328-2024")</f>
        <v/>
      </c>
      <c r="X35">
        <f>HYPERLINK("https://klasma.github.io/Logging_0682/kartor/A 35328-2024 karta.png", "A 35328-2024")</f>
        <v/>
      </c>
      <c r="Y35">
        <f>HYPERLINK("https://klasma.github.io/Logging_0682/kartor_geotiff/A 35328-2024 georefererad karta.tif", "A 35328-2024")</f>
        <v/>
      </c>
      <c r="AA35">
        <f>HYPERLINK("https://klasma.github.io/Logging_0682/klagomål/A 35328-2024 FSC-klagomål.docx", "A 35328-2024")</f>
        <v/>
      </c>
      <c r="AB35">
        <f>HYPERLINK("https://klasma.github.io/Logging_0682/klagomålsmail/A 35328-2024 FSC-klagomål mail.docx", "A 35328-2024")</f>
        <v/>
      </c>
      <c r="AC35">
        <f>HYPERLINK("https://klasma.github.io/Logging_0682/tillsyn/A 35328-2024 tillsynsbegäran.docx", "A 35328-2024")</f>
        <v/>
      </c>
      <c r="AD35">
        <f>HYPERLINK("https://klasma.github.io/Logging_0682/tillsynsmail/A 35328-2024 tillsynsbegäran mail.docx", "A 35328-2024")</f>
        <v/>
      </c>
    </row>
    <row r="36" ht="15" customHeight="1">
      <c r="A36" t="inlineStr">
        <is>
          <t>A 33372-2025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46283</v>
      </c>
      <c r="F36" t="inlineStr">
        <is>
          <t>JÖNKÖPINGS LÄN</t>
        </is>
      </c>
      <c r="G36" t="inlineStr">
        <is>
          <t>NÄSSJÖ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HYPERLINK("https://klasma.github.io/Logging_0682/artfynd/A 33372-2025 artfynd.xlsx", "A 33372-2025")</f>
        <v/>
      </c>
      <c r="X36">
        <f>HYPERLINK("https://klasma.github.io/Logging_0682/kartor/A 33372-2025 karta.png", "A 33372-2025")</f>
        <v/>
      </c>
      <c r="Y36">
        <f>HYPERLINK("https://klasma.github.io/Logging_0682/kartor_geotiff/A 33372-2025 georefererad karta.tif", "A 33372-2025")</f>
        <v/>
      </c>
      <c r="AA36">
        <f>HYPERLINK("https://klasma.github.io/Logging_0682/klagomål/A 33372-2025 FSC-klagomål.docx", "A 33372-2025")</f>
        <v/>
      </c>
      <c r="AB36">
        <f>HYPERLINK("https://klasma.github.io/Logging_0682/klagomålsmail/A 33372-2025 FSC-klagomål mail.docx", "A 33372-2025")</f>
        <v/>
      </c>
      <c r="AC36">
        <f>HYPERLINK("https://klasma.github.io/Logging_0682/tillsyn/A 33372-2025 tillsynsbegäran.docx", "A 33372-2025")</f>
        <v/>
      </c>
      <c r="AD36">
        <f>HYPERLINK("https://klasma.github.io/Logging_0682/tillsynsmail/A 33372-2025 tillsynsbegäran mail.docx", "A 33372-2025")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46283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HYPERLINK("https://klasma.github.io/Logging_0682/artfynd/A 27215-2023 artfynd.xlsx", "A 27215-2023")</f>
        <v/>
      </c>
      <c r="X37">
        <f>HYPERLINK("https://klasma.github.io/Logging_0682/kartor/A 27215-2023 karta.png", "A 27215-2023")</f>
        <v/>
      </c>
      <c r="Y37">
        <f>HYPERLINK("https://klasma.github.io/Logging_0682/kartor_geotiff/A 27215-2023 georefererad karta.tif", "A 27215-2023")</f>
        <v/>
      </c>
      <c r="AA37">
        <f>HYPERLINK("https://klasma.github.io/Logging_0682/klagomål/A 27215-2023 FSC-klagomål.docx", "A 27215-2023")</f>
        <v/>
      </c>
      <c r="AB37">
        <f>HYPERLINK("https://klasma.github.io/Logging_0682/klagomålsmail/A 27215-2023 FSC-klagomål mail.docx", "A 27215-2023")</f>
        <v/>
      </c>
      <c r="AC37">
        <f>HYPERLINK("https://klasma.github.io/Logging_0682/tillsyn/A 27215-2023 tillsynsbegäran.docx", "A 27215-2023")</f>
        <v/>
      </c>
      <c r="AD37">
        <f>HYPERLINK("https://klasma.github.io/Logging_0682/tillsynsmail/A 27215-2023 tillsynsbegäran mail.docx", "A 27215-2023")</f>
        <v/>
      </c>
      <c r="AE37">
        <f>HYPERLINK("https://klasma.github.io/Logging_0682/fåglar/A 27215-2023 prioriterade fågelarter.docx", "A 27215-2023")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46283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HYPERLINK("https://klasma.github.io/Logging_0682/artfynd/A 3693-2022 artfynd.xlsx", "A 3693-2022")</f>
        <v/>
      </c>
      <c r="X38">
        <f>HYPERLINK("https://klasma.github.io/Logging_0682/kartor/A 3693-2022 karta.png", "A 3693-2022")</f>
        <v/>
      </c>
      <c r="Y38">
        <f>HYPERLINK("https://klasma.github.io/Logging_0682/kartor_geotiff/A 3693-2022 georefererad karta.tif", "A 3693-2022")</f>
        <v/>
      </c>
      <c r="AA38">
        <f>HYPERLINK("https://klasma.github.io/Logging_0682/klagomål/A 3693-2022 FSC-klagomål.docx", "A 3693-2022")</f>
        <v/>
      </c>
      <c r="AB38">
        <f>HYPERLINK("https://klasma.github.io/Logging_0682/klagomålsmail/A 3693-2022 FSC-klagomål mail.docx", "A 3693-2022")</f>
        <v/>
      </c>
      <c r="AC38">
        <f>HYPERLINK("https://klasma.github.io/Logging_0682/tillsyn/A 3693-2022 tillsynsbegäran.docx", "A 3693-2022")</f>
        <v/>
      </c>
      <c r="AD38">
        <f>HYPERLINK("https://klasma.github.io/Logging_0682/tillsynsmail/A 3693-2022 tillsynsbegäran mail.docx", "A 3693-2022")</f>
        <v/>
      </c>
      <c r="AE38">
        <f>HYPERLINK("https://klasma.github.io/Logging_0682/fåglar/A 3693-2022 prioriterade fågelarter.docx", "A 3693-2022")</f>
        <v/>
      </c>
    </row>
    <row r="39" ht="15" customHeight="1">
      <c r="A39" t="inlineStr">
        <is>
          <t>A 20607-2026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46283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HYPERLINK("https://klasma.github.io/Logging_0682/artfynd/A 20607-2026 artfynd.xlsx", "A 20607-2026")</f>
        <v/>
      </c>
      <c r="X39">
        <f>HYPERLINK("https://klasma.github.io/Logging_0682/kartor/A 20607-2026 karta.png", "A 20607-2026")</f>
        <v/>
      </c>
      <c r="Y39">
        <f>HYPERLINK("https://klasma.github.io/Logging_0682/kartor_geotiff/A 20607-2026 georefererad karta.tif", "A 20607-2026")</f>
        <v/>
      </c>
      <c r="AA39">
        <f>HYPERLINK("https://klasma.github.io/Logging_0682/klagomål/A 20607-2026 FSC-klagomål.docx", "A 20607-2026")</f>
        <v/>
      </c>
      <c r="AB39">
        <f>HYPERLINK("https://klasma.github.io/Logging_0682/klagomålsmail/A 20607-2026 FSC-klagomål mail.docx", "A 20607-2026")</f>
        <v/>
      </c>
      <c r="AC39">
        <f>HYPERLINK("https://klasma.github.io/Logging_0682/tillsyn/A 20607-2026 tillsynsbegäran.docx", "A 20607-2026")</f>
        <v/>
      </c>
      <c r="AD39">
        <f>HYPERLINK("https://klasma.github.io/Logging_0682/tillsynsmail/A 20607-2026 tillsynsbegäran mail.docx", "A 20607-2026")</f>
        <v/>
      </c>
    </row>
    <row r="40" ht="15" customHeight="1">
      <c r="A40" t="inlineStr">
        <is>
          <t>A 39717-2022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44819</v>
      </c>
      <c r="E40" s="1" t="n">
        <v>46283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HYPERLINK("https://klasma.github.io/Logging_0682/artfynd/A 39717-2022 artfynd.xlsx", "A 39717-2022")</f>
        <v/>
      </c>
      <c r="X40">
        <f>HYPERLINK("https://klasma.github.io/Logging_0682/kartor/A 39717-2022 karta.png", "A 39717-2022")</f>
        <v/>
      </c>
      <c r="Y40">
        <f>HYPERLINK("https://klasma.github.io/Logging_0682/kartor_geotiff/A 39717-2022 georefererad karta.tif", "A 39717-2022")</f>
        <v/>
      </c>
      <c r="AA40">
        <f>HYPERLINK("https://klasma.github.io/Logging_0682/klagomål/A 39717-2022 FSC-klagomål.docx", "A 39717-2022")</f>
        <v/>
      </c>
      <c r="AB40">
        <f>HYPERLINK("https://klasma.github.io/Logging_0682/klagomålsmail/A 39717-2022 FSC-klagomål mail.docx", "A 39717-2022")</f>
        <v/>
      </c>
      <c r="AC40">
        <f>HYPERLINK("https://klasma.github.io/Logging_0682/tillsyn/A 39717-2022 tillsynsbegäran.docx", "A 39717-2022")</f>
        <v/>
      </c>
      <c r="AD40">
        <f>HYPERLINK("https://klasma.github.io/Logging_0682/tillsynsmail/A 39717-2022 tillsynsbegäran mail.docx", "A 39717-2022")</f>
        <v/>
      </c>
    </row>
    <row r="41" ht="15" customHeight="1">
      <c r="A41" t="inlineStr">
        <is>
          <t>A 50120-2025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46283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Spindelblomster</t>
        </is>
      </c>
      <c r="W41">
        <f>HYPERLINK("https://klasma.github.io/Logging_0682/artfynd/A 50120-2025 artfynd.xlsx", "A 50120-2025")</f>
        <v/>
      </c>
      <c r="X41">
        <f>HYPERLINK("https://klasma.github.io/Logging_0682/kartor/A 50120-2025 karta.png", "A 50120-2025")</f>
        <v/>
      </c>
      <c r="Y41">
        <f>HYPERLINK("https://klasma.github.io/Logging_0682/kartor_geotiff/A 50120-2025 georefererad karta.tif", "A 50120-2025")</f>
        <v/>
      </c>
      <c r="AA41">
        <f>HYPERLINK("https://klasma.github.io/Logging_0682/klagomål/A 50120-2025 FSC-klagomål.docx", "A 50120-2025")</f>
        <v/>
      </c>
      <c r="AB41">
        <f>HYPERLINK("https://klasma.github.io/Logging_0682/klagomålsmail/A 50120-2025 FSC-klagomål mail.docx", "A 50120-2025")</f>
        <v/>
      </c>
      <c r="AC41">
        <f>HYPERLINK("https://klasma.github.io/Logging_0682/tillsyn/A 50120-2025 tillsynsbegäran.docx", "A 50120-2025")</f>
        <v/>
      </c>
      <c r="AD41">
        <f>HYPERLINK("https://klasma.github.io/Logging_0682/tillsynsmail/A 50120-2025 tillsynsbegäran mail.docx", "A 50120-2025")</f>
        <v/>
      </c>
    </row>
    <row r="42" ht="15" customHeight="1">
      <c r="A42" t="inlineStr">
        <is>
          <t>A 34798-2026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46258</v>
      </c>
      <c r="E42" s="1" t="n">
        <v>46283</v>
      </c>
      <c r="F42" t="inlineStr">
        <is>
          <t>JÖNKÖPINGS LÄN</t>
        </is>
      </c>
      <c r="G42" t="inlineStr">
        <is>
          <t>NÄSSJÖ</t>
        </is>
      </c>
      <c r="I42" t="n">
        <v>0.4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Kornig nållav</t>
        </is>
      </c>
      <c r="W42">
        <f>HYPERLINK("https://klasma.github.io/Logging_0682/artfynd/A 34798-2026 artfynd.xlsx", "A 34798-2026")</f>
        <v/>
      </c>
      <c r="X42">
        <f>HYPERLINK("https://klasma.github.io/Logging_0682/kartor/A 34798-2026 karta.png", "A 34798-2026")</f>
        <v/>
      </c>
      <c r="Y42">
        <f>HYPERLINK("https://klasma.github.io/Logging_0682/kartor_geotiff/A 34798-2026 georefererad karta.tif", "A 34798-2026")</f>
        <v/>
      </c>
      <c r="AA42">
        <f>HYPERLINK("https://klasma.github.io/Logging_0682/klagomål/A 34798-2026 FSC-klagomål.docx", "A 34798-2026")</f>
        <v/>
      </c>
      <c r="AB42">
        <f>HYPERLINK("https://klasma.github.io/Logging_0682/klagomålsmail/A 34798-2026 FSC-klagomål mail.docx", "A 34798-2026")</f>
        <v/>
      </c>
      <c r="AC42">
        <f>HYPERLINK("https://klasma.github.io/Logging_0682/tillsyn/A 34798-2026 tillsynsbegäran.docx", "A 34798-2026")</f>
        <v/>
      </c>
      <c r="AD42">
        <f>HYPERLINK("https://klasma.github.io/Logging_0682/tillsynsmail/A 34798-2026 tillsynsbegäran mail.docx", "A 34798-2026")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46283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63989-2025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46283</v>
      </c>
      <c r="F44" t="inlineStr">
        <is>
          <t>JÖNKÖPINGS LÄN</t>
        </is>
      </c>
      <c r="G44" t="inlineStr">
        <is>
          <t>NÄSSJÖ</t>
        </is>
      </c>
      <c r="I44" t="n">
        <v>2.7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Fältgentiana</t>
        </is>
      </c>
      <c r="W44">
        <f>HYPERLINK("https://klasma.github.io/Logging_0682/artfynd/A 63989-2025 artfynd.xlsx", "A 63989-2025")</f>
        <v/>
      </c>
      <c r="X44">
        <f>HYPERLINK("https://klasma.github.io/Logging_0682/kartor/A 63989-2025 karta.png", "A 63989-2025")</f>
        <v/>
      </c>
      <c r="Y44">
        <f>HYPERLINK("https://klasma.github.io/Logging_0682/kartor_geotiff/A 63989-2025 georefererad karta.tif", "A 63989-2025")</f>
        <v/>
      </c>
      <c r="AA44">
        <f>HYPERLINK("https://klasma.github.io/Logging_0682/klagomål/A 63989-2025 FSC-klagomål.docx", "A 63989-2025")</f>
        <v/>
      </c>
      <c r="AB44">
        <f>HYPERLINK("https://klasma.github.io/Logging_0682/klagomålsmail/A 63989-2025 FSC-klagomål mail.docx", "A 63989-2025")</f>
        <v/>
      </c>
      <c r="AC44">
        <f>HYPERLINK("https://klasma.github.io/Logging_0682/tillsyn/A 63989-2025 tillsynsbegäran.docx", "A 63989-2025")</f>
        <v/>
      </c>
      <c r="AD44">
        <f>HYPERLINK("https://klasma.github.io/Logging_0682/tillsynsmail/A 63989-2025 tillsynsbegäran mail.docx", "A 63989-2025")</f>
        <v/>
      </c>
    </row>
    <row r="45" ht="15" customHeight="1">
      <c r="A45" t="inlineStr">
        <is>
          <t>A 48462-2024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46283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48462-2024 artfynd.xlsx", "A 48462-2024")</f>
        <v/>
      </c>
      <c r="X45">
        <f>HYPERLINK("https://klasma.github.io/Logging_0682/kartor/A 48462-2024 karta.png", "A 48462-2024")</f>
        <v/>
      </c>
      <c r="Y45">
        <f>HYPERLINK("https://klasma.github.io/Logging_0682/kartor_geotiff/A 48462-2024 georefererad karta.tif", "A 48462-2024")</f>
        <v/>
      </c>
      <c r="AA45">
        <f>HYPERLINK("https://klasma.github.io/Logging_0682/klagomål/A 48462-2024 FSC-klagomål.docx", "A 48462-2024")</f>
        <v/>
      </c>
      <c r="AB45">
        <f>HYPERLINK("https://klasma.github.io/Logging_0682/klagomålsmail/A 48462-2024 FSC-klagomål mail.docx", "A 48462-2024")</f>
        <v/>
      </c>
      <c r="AC45">
        <f>HYPERLINK("https://klasma.github.io/Logging_0682/tillsyn/A 48462-2024 tillsynsbegäran.docx", "A 48462-2024")</f>
        <v/>
      </c>
      <c r="AD45">
        <f>HYPERLINK("https://klasma.github.io/Logging_0682/tillsynsmail/A 48462-2024 tillsynsbegäran mail.docx", "A 48462-2024")</f>
        <v/>
      </c>
    </row>
    <row r="46" ht="15" customHeight="1">
      <c r="A46" t="inlineStr">
        <is>
          <t>A 4720-2026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46283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HYPERLINK("https://klasma.github.io/Logging_0682/artfynd/A 4720-2026 artfynd.xlsx", "A 4720-2026")</f>
        <v/>
      </c>
      <c r="X46">
        <f>HYPERLINK("https://klasma.github.io/Logging_0682/kartor/A 4720-2026 karta.png", "A 4720-2026")</f>
        <v/>
      </c>
      <c r="Y46">
        <f>HYPERLINK("https://klasma.github.io/Logging_0682/kartor_geotiff/A 4720-2026 georefererad karta.tif", "A 4720-2026")</f>
        <v/>
      </c>
      <c r="AA46">
        <f>HYPERLINK("https://klasma.github.io/Logging_0682/klagomål/A 4720-2026 FSC-klagomål.docx", "A 4720-2026")</f>
        <v/>
      </c>
      <c r="AB46">
        <f>HYPERLINK("https://klasma.github.io/Logging_0682/klagomålsmail/A 4720-2026 FSC-klagomål mail.docx", "A 4720-2026")</f>
        <v/>
      </c>
      <c r="AC46">
        <f>HYPERLINK("https://klasma.github.io/Logging_0682/tillsyn/A 4720-2026 tillsynsbegäran.docx", "A 4720-2026")</f>
        <v/>
      </c>
      <c r="AD46">
        <f>HYPERLINK("https://klasma.github.io/Logging_0682/tillsynsmail/A 4720-2026 tillsynsbegäran mail.docx", "A 4720-2026")</f>
        <v/>
      </c>
    </row>
    <row r="47" ht="15" customHeight="1">
      <c r="A47" t="inlineStr">
        <is>
          <t>A 5108-2026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46283</v>
      </c>
      <c r="F47" t="inlineStr">
        <is>
          <t>JÖNKÖPINGS LÄN</t>
        </is>
      </c>
      <c r="G47" t="inlineStr">
        <is>
          <t>NÄSSJÖ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HYPERLINK("https://klasma.github.io/Logging_0682/artfynd/A 5108-2026 artfynd.xlsx", "A 5108-2026")</f>
        <v/>
      </c>
      <c r="X47">
        <f>HYPERLINK("https://klasma.github.io/Logging_0682/kartor/A 5108-2026 karta.png", "A 5108-2026")</f>
        <v/>
      </c>
      <c r="Y47">
        <f>HYPERLINK("https://klasma.github.io/Logging_0682/kartor_geotiff/A 5108-2026 georefererad karta.tif", "A 5108-2026")</f>
        <v/>
      </c>
      <c r="AA47">
        <f>HYPERLINK("https://klasma.github.io/Logging_0682/klagomål/A 5108-2026 FSC-klagomål.docx", "A 5108-2026")</f>
        <v/>
      </c>
      <c r="AB47">
        <f>HYPERLINK("https://klasma.github.io/Logging_0682/klagomålsmail/A 5108-2026 FSC-klagomål mail.docx", "A 5108-2026")</f>
        <v/>
      </c>
      <c r="AC47">
        <f>HYPERLINK("https://klasma.github.io/Logging_0682/tillsyn/A 5108-2026 tillsynsbegäran.docx", "A 5108-2026")</f>
        <v/>
      </c>
      <c r="AD47">
        <f>HYPERLINK("https://klasma.github.io/Logging_0682/tillsynsmail/A 5108-2026 tillsynsbegäran mail.docx", "A 5108-2026")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46283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46283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46283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46283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46283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46283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46283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46283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46283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46283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46283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46283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46283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46283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46283</v>
      </c>
      <c r="F62" t="inlineStr">
        <is>
          <t>JÖNKÖPINGS LÄN</t>
        </is>
      </c>
      <c r="G62" t="inlineStr">
        <is>
          <t>NÄSSJÖ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46283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46283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46283</v>
      </c>
      <c r="F65" t="inlineStr">
        <is>
          <t>JÖNKÖPINGS LÄN</t>
        </is>
      </c>
      <c r="G65" t="inlineStr">
        <is>
          <t>NÄSSJÖ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46283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46283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46283</v>
      </c>
      <c r="F68" t="inlineStr">
        <is>
          <t>JÖNKÖPINGS LÄN</t>
        </is>
      </c>
      <c r="G68" t="inlineStr">
        <is>
          <t>NÄSSJÖ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46283</v>
      </c>
      <c r="F69" t="inlineStr">
        <is>
          <t>JÖNKÖPINGS LÄN</t>
        </is>
      </c>
      <c r="G69" t="inlineStr">
        <is>
          <t>NÄSSJÖ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46283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46283</v>
      </c>
      <c r="F71" t="inlineStr">
        <is>
          <t>JÖNKÖPINGS LÄN</t>
        </is>
      </c>
      <c r="G71" t="inlineStr">
        <is>
          <t>NÄSSJÖ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46283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44463</v>
      </c>
      <c r="E73" s="1" t="n">
        <v>46283</v>
      </c>
      <c r="F73" t="inlineStr">
        <is>
          <t>JÖNKÖPINGS LÄN</t>
        </is>
      </c>
      <c r="G73" t="inlineStr">
        <is>
          <t>NÄSSJÖ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46283</v>
      </c>
      <c r="F74" t="inlineStr">
        <is>
          <t>JÖNKÖPINGS LÄN</t>
        </is>
      </c>
      <c r="G74" t="inlineStr">
        <is>
          <t>NÄSSJÖ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8540-2022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44613</v>
      </c>
      <c r="E75" s="1" t="n">
        <v>46283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24641-2022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46283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44844</v>
      </c>
      <c r="E77" s="1" t="n">
        <v>46283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71609-2021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44541</v>
      </c>
      <c r="E78" s="1" t="n">
        <v>46283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46283</v>
      </c>
      <c r="F79" t="inlineStr">
        <is>
          <t>JÖNKÖPINGS LÄN</t>
        </is>
      </c>
      <c r="G79" t="inlineStr">
        <is>
          <t>NÄSSJÖ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43545-2022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44837</v>
      </c>
      <c r="E80" s="1" t="n">
        <v>46283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46283</v>
      </c>
      <c r="F81" t="inlineStr">
        <is>
          <t>JÖNKÖPINGS LÄN</t>
        </is>
      </c>
      <c r="G81" t="inlineStr">
        <is>
          <t>NÄSSJÖ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52523-2021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46283</v>
      </c>
      <c r="F82" t="inlineStr">
        <is>
          <t>JÖNKÖPINGS LÄN</t>
        </is>
      </c>
      <c r="G82" t="inlineStr">
        <is>
          <t>NÄSSJÖ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66505-2021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44519</v>
      </c>
      <c r="E83" s="1" t="n">
        <v>46283</v>
      </c>
      <c r="F83" t="inlineStr">
        <is>
          <t>JÖNKÖPINGS LÄN</t>
        </is>
      </c>
      <c r="G83" t="inlineStr">
        <is>
          <t>NÄSSJÖ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44659</v>
      </c>
      <c r="E84" s="1" t="n">
        <v>46283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20945-2022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44701</v>
      </c>
      <c r="E85" s="1" t="n">
        <v>46283</v>
      </c>
      <c r="F85" t="inlineStr">
        <is>
          <t>JÖNKÖPINGS LÄN</t>
        </is>
      </c>
      <c r="G85" t="inlineStr">
        <is>
          <t>NÄSSJÖ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46283</v>
      </c>
      <c r="F86" t="inlineStr">
        <is>
          <t>JÖNKÖPINGS LÄN</t>
        </is>
      </c>
      <c r="G86" t="inlineStr">
        <is>
          <t>NÄSSJÖ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46283</v>
      </c>
      <c r="F87" t="inlineStr">
        <is>
          <t>JÖNKÖPINGS LÄN</t>
        </is>
      </c>
      <c r="G87" t="inlineStr">
        <is>
          <t>NÄSSJÖ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44721</v>
      </c>
      <c r="E88" s="1" t="n">
        <v>46283</v>
      </c>
      <c r="F88" t="inlineStr">
        <is>
          <t>JÖNKÖPINGS LÄN</t>
        </is>
      </c>
      <c r="G88" t="inlineStr">
        <is>
          <t>NÄSSJÖ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16314-2022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44670</v>
      </c>
      <c r="E89" s="1" t="n">
        <v>46283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46283</v>
      </c>
      <c r="F90" t="inlineStr">
        <is>
          <t>JÖNKÖPINGS LÄN</t>
        </is>
      </c>
      <c r="G90" t="inlineStr">
        <is>
          <t>NÄSSJÖ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46283</v>
      </c>
      <c r="F91" t="inlineStr">
        <is>
          <t>JÖNKÖPINGS LÄN</t>
        </is>
      </c>
      <c r="G91" t="inlineStr">
        <is>
          <t>NÄSSJÖ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46283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44678</v>
      </c>
      <c r="E93" s="1" t="n">
        <v>46283</v>
      </c>
      <c r="F93" t="inlineStr">
        <is>
          <t>JÖNKÖPINGS LÄN</t>
        </is>
      </c>
      <c r="G93" t="inlineStr">
        <is>
          <t>NÄSSJÖ</t>
        </is>
      </c>
      <c r="I93" t="n">
        <v>12.9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46283</v>
      </c>
      <c r="F94" t="inlineStr">
        <is>
          <t>JÖNKÖPINGS LÄN</t>
        </is>
      </c>
      <c r="G94" t="inlineStr">
        <is>
          <t>NÄSSJÖ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55466-2022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44887</v>
      </c>
      <c r="E95" s="1" t="n">
        <v>46283</v>
      </c>
      <c r="F95" t="inlineStr">
        <is>
          <t>JÖNKÖPINGS LÄN</t>
        </is>
      </c>
      <c r="G95" t="inlineStr">
        <is>
          <t>NÄSSJÖ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46283</v>
      </c>
      <c r="F96" t="inlineStr">
        <is>
          <t>JÖNKÖPINGS LÄN</t>
        </is>
      </c>
      <c r="G96" t="inlineStr">
        <is>
          <t>NÄSSJÖ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46283</v>
      </c>
      <c r="F97" t="inlineStr">
        <is>
          <t>JÖNKÖPINGS LÄN</t>
        </is>
      </c>
      <c r="G97" t="inlineStr">
        <is>
          <t>NÄSSJÖ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14037-2022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44650</v>
      </c>
      <c r="E98" s="1" t="n">
        <v>46283</v>
      </c>
      <c r="F98" t="inlineStr">
        <is>
          <t>JÖNKÖPINGS LÄN</t>
        </is>
      </c>
      <c r="G98" t="inlineStr">
        <is>
          <t>NÄSSJÖ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44568</v>
      </c>
      <c r="E99" s="1" t="n">
        <v>46283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46283</v>
      </c>
      <c r="F100" t="inlineStr">
        <is>
          <t>JÖNKÖPINGS LÄN</t>
        </is>
      </c>
      <c r="G100" t="inlineStr">
        <is>
          <t>NÄSSJÖ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46283</v>
      </c>
      <c r="F101" t="inlineStr">
        <is>
          <t>JÖNKÖPINGS LÄN</t>
        </is>
      </c>
      <c r="G101" t="inlineStr">
        <is>
          <t>NÄSSJÖ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46283</v>
      </c>
      <c r="F102" t="inlineStr">
        <is>
          <t>JÖNKÖPINGS LÄN</t>
        </is>
      </c>
      <c r="G102" t="inlineStr">
        <is>
          <t>NÄSSJÖ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45720</v>
      </c>
      <c r="E103" s="1" t="n">
        <v>46283</v>
      </c>
      <c r="F103" t="inlineStr">
        <is>
          <t>JÖNKÖPINGS LÄN</t>
        </is>
      </c>
      <c r="G103" t="inlineStr">
        <is>
          <t>NÄSSJÖ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46283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46283</v>
      </c>
      <c r="F105" t="inlineStr">
        <is>
          <t>JÖNKÖPINGS LÄN</t>
        </is>
      </c>
      <c r="G105" t="inlineStr">
        <is>
          <t>NÄSSJÖ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46283</v>
      </c>
      <c r="F106" t="inlineStr">
        <is>
          <t>JÖNKÖPINGS LÄN</t>
        </is>
      </c>
      <c r="G106" t="inlineStr">
        <is>
          <t>NÄSSJÖ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45358</v>
      </c>
      <c r="E107" s="1" t="n">
        <v>46283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51136-2023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45219</v>
      </c>
      <c r="E108" s="1" t="n">
        <v>46283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46283</v>
      </c>
      <c r="F109" t="inlineStr">
        <is>
          <t>JÖNKÖPINGS LÄN</t>
        </is>
      </c>
      <c r="G109" t="inlineStr">
        <is>
          <t>NÄSSJÖ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46283</v>
      </c>
      <c r="F110" t="inlineStr">
        <is>
          <t>JÖNKÖPINGS LÄN</t>
        </is>
      </c>
      <c r="G110" t="inlineStr">
        <is>
          <t>NÄSSJÖ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46283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46283</v>
      </c>
      <c r="F112" t="inlineStr">
        <is>
          <t>JÖNKÖPINGS LÄN</t>
        </is>
      </c>
      <c r="G112" t="inlineStr">
        <is>
          <t>NÄSSJÖ</t>
        </is>
      </c>
      <c r="H112" t="inlineStr">
        <is>
          <t>Kommuner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46283</v>
      </c>
      <c r="F113" t="inlineStr">
        <is>
          <t>JÖNKÖPINGS LÄN</t>
        </is>
      </c>
      <c r="G113" t="inlineStr">
        <is>
          <t>NÄSSJÖ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48479-2022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46283</v>
      </c>
      <c r="F114" t="inlineStr">
        <is>
          <t>JÖNKÖPINGS LÄN</t>
        </is>
      </c>
      <c r="G114" t="inlineStr">
        <is>
          <t>NÄSSJÖ</t>
        </is>
      </c>
      <c r="H114" t="inlineStr">
        <is>
          <t>Kommuner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44848</v>
      </c>
      <c r="E115" s="1" t="n">
        <v>46283</v>
      </c>
      <c r="F115" t="inlineStr">
        <is>
          <t>JÖNKÖPINGS LÄN</t>
        </is>
      </c>
      <c r="G115" t="inlineStr">
        <is>
          <t>NÄSSJÖ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44867</v>
      </c>
      <c r="E116" s="1" t="n">
        <v>46283</v>
      </c>
      <c r="F116" t="inlineStr">
        <is>
          <t>JÖNKÖPINGS LÄN</t>
        </is>
      </c>
      <c r="G116" t="inlineStr">
        <is>
          <t>NÄSSJÖ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46283</v>
      </c>
      <c r="F117" t="inlineStr">
        <is>
          <t>JÖNKÖPINGS LÄN</t>
        </is>
      </c>
      <c r="G117" t="inlineStr">
        <is>
          <t>NÄSSJÖ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44928</v>
      </c>
      <c r="E118" s="1" t="n">
        <v>46283</v>
      </c>
      <c r="F118" t="inlineStr">
        <is>
          <t>JÖNKÖPINGS LÄN</t>
        </is>
      </c>
      <c r="G118" t="inlineStr">
        <is>
          <t>NÄSSJÖ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45394</v>
      </c>
      <c r="E119" s="1" t="n">
        <v>46283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46283</v>
      </c>
      <c r="F120" t="inlineStr">
        <is>
          <t>JÖNKÖPINGS LÄN</t>
        </is>
      </c>
      <c r="G120" t="inlineStr">
        <is>
          <t>NÄSSJÖ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15829-2024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45404</v>
      </c>
      <c r="E121" s="1" t="n">
        <v>46283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45109</v>
      </c>
      <c r="E122" s="1" t="n">
        <v>46283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46283</v>
      </c>
      <c r="F123" t="inlineStr">
        <is>
          <t>JÖNKÖPINGS LÄN</t>
        </is>
      </c>
      <c r="G123" t="inlineStr">
        <is>
          <t>NÄSSJÖ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46283</v>
      </c>
      <c r="F124" t="inlineStr">
        <is>
          <t>JÖNKÖPINGS LÄN</t>
        </is>
      </c>
      <c r="G124" t="inlineStr">
        <is>
          <t>NÄSSJÖ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32982-2024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45517</v>
      </c>
      <c r="E125" s="1" t="n">
        <v>46283</v>
      </c>
      <c r="F125" t="inlineStr">
        <is>
          <t>JÖNKÖPINGS LÄN</t>
        </is>
      </c>
      <c r="G125" t="inlineStr">
        <is>
          <t>NÄSSJÖ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46283</v>
      </c>
      <c r="F126" t="inlineStr">
        <is>
          <t>JÖNKÖPINGS LÄN</t>
        </is>
      </c>
      <c r="G126" t="inlineStr">
        <is>
          <t>NÄSSJÖ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45307</v>
      </c>
      <c r="E127" s="1" t="n">
        <v>46283</v>
      </c>
      <c r="F127" t="inlineStr">
        <is>
          <t>JÖNKÖPINGS LÄN</t>
        </is>
      </c>
      <c r="G127" t="inlineStr">
        <is>
          <t>NÄSSJÖ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45273</v>
      </c>
      <c r="E128" s="1" t="n">
        <v>46283</v>
      </c>
      <c r="F128" t="inlineStr">
        <is>
          <t>JÖNKÖPINGS LÄN</t>
        </is>
      </c>
      <c r="G128" t="inlineStr">
        <is>
          <t>NÄSSJÖ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45154</v>
      </c>
      <c r="E129" s="1" t="n">
        <v>46283</v>
      </c>
      <c r="F129" t="inlineStr">
        <is>
          <t>JÖNKÖPINGS LÄN</t>
        </is>
      </c>
      <c r="G129" t="inlineStr">
        <is>
          <t>NÄSSJÖ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45154</v>
      </c>
      <c r="E130" s="1" t="n">
        <v>46283</v>
      </c>
      <c r="F130" t="inlineStr">
        <is>
          <t>JÖNKÖPINGS LÄN</t>
        </is>
      </c>
      <c r="G130" t="inlineStr">
        <is>
          <t>NÄSSJÖ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46283</v>
      </c>
      <c r="F131" t="inlineStr">
        <is>
          <t>JÖNKÖPINGS LÄN</t>
        </is>
      </c>
      <c r="G131" t="inlineStr">
        <is>
          <t>NÄSSJÖ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44867</v>
      </c>
      <c r="E132" s="1" t="n">
        <v>46283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46283</v>
      </c>
      <c r="F133" t="inlineStr">
        <is>
          <t>JÖNKÖPINGS LÄN</t>
        </is>
      </c>
      <c r="G133" t="inlineStr">
        <is>
          <t>NÄSSJÖ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46283</v>
      </c>
      <c r="F134" t="inlineStr">
        <is>
          <t>JÖNKÖPINGS LÄN</t>
        </is>
      </c>
      <c r="G134" t="inlineStr">
        <is>
          <t>NÄSSJÖ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46283</v>
      </c>
      <c r="F135" t="inlineStr">
        <is>
          <t>JÖNKÖPINGS LÄN</t>
        </is>
      </c>
      <c r="G135" t="inlineStr">
        <is>
          <t>NÄSSJÖ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46283</v>
      </c>
      <c r="F136" t="inlineStr">
        <is>
          <t>JÖNKÖPINGS LÄN</t>
        </is>
      </c>
      <c r="G136" t="inlineStr">
        <is>
          <t>NÄSSJÖ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46283</v>
      </c>
      <c r="F137" t="inlineStr">
        <is>
          <t>JÖNKÖPINGS LÄN</t>
        </is>
      </c>
      <c r="G137" t="inlineStr">
        <is>
          <t>NÄSSJÖ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45014</v>
      </c>
      <c r="E138" s="1" t="n">
        <v>46283</v>
      </c>
      <c r="F138" t="inlineStr">
        <is>
          <t>JÖNKÖPINGS LÄN</t>
        </is>
      </c>
      <c r="G138" t="inlineStr">
        <is>
          <t>NÄSSJÖ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45031</v>
      </c>
      <c r="E139" s="1" t="n">
        <v>46283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46283</v>
      </c>
      <c r="F140" t="inlineStr">
        <is>
          <t>JÖNKÖPINGS LÄN</t>
        </is>
      </c>
      <c r="G140" t="inlineStr">
        <is>
          <t>NÄSSJÖ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45419</v>
      </c>
      <c r="E141" s="1" t="n">
        <v>46283</v>
      </c>
      <c r="F141" t="inlineStr">
        <is>
          <t>JÖNKÖPINGS LÄN</t>
        </is>
      </c>
      <c r="G141" t="inlineStr">
        <is>
          <t>NÄSSJÖ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46283</v>
      </c>
      <c r="F142" t="inlineStr">
        <is>
          <t>JÖNKÖPINGS LÄN</t>
        </is>
      </c>
      <c r="G142" t="inlineStr">
        <is>
          <t>NÄSSJÖ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46283</v>
      </c>
      <c r="F143" t="inlineStr">
        <is>
          <t>JÖNKÖPINGS LÄN</t>
        </is>
      </c>
      <c r="G143" t="inlineStr">
        <is>
          <t>NÄSSJÖ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46283</v>
      </c>
      <c r="F144" t="inlineStr">
        <is>
          <t>JÖNKÖPINGS LÄN</t>
        </is>
      </c>
      <c r="G144" t="inlineStr">
        <is>
          <t>NÄSSJÖ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46283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46283</v>
      </c>
      <c r="F146" t="inlineStr">
        <is>
          <t>JÖNKÖPINGS LÄN</t>
        </is>
      </c>
      <c r="G146" t="inlineStr">
        <is>
          <t>NÄSSJÖ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46283</v>
      </c>
      <c r="F147" t="inlineStr">
        <is>
          <t>JÖNKÖPINGS LÄN</t>
        </is>
      </c>
      <c r="G147" t="inlineStr">
        <is>
          <t>NÄSSJÖ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44400-2024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46283</v>
      </c>
      <c r="F148" t="inlineStr">
        <is>
          <t>JÖNKÖPINGS LÄN</t>
        </is>
      </c>
      <c r="G148" t="inlineStr">
        <is>
          <t>NÄSSJÖ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46283</v>
      </c>
      <c r="F149" t="inlineStr">
        <is>
          <t>JÖNKÖPINGS LÄN</t>
        </is>
      </c>
      <c r="G149" t="inlineStr">
        <is>
          <t>NÄSSJÖ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46283</v>
      </c>
      <c r="F150" t="inlineStr">
        <is>
          <t>JÖNKÖPINGS LÄN</t>
        </is>
      </c>
      <c r="G150" t="inlineStr">
        <is>
          <t>NÄSSJÖ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46283</v>
      </c>
      <c r="F151" t="inlineStr">
        <is>
          <t>JÖNKÖPINGS LÄN</t>
        </is>
      </c>
      <c r="G151" t="inlineStr">
        <is>
          <t>NÄSSJÖ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46283</v>
      </c>
      <c r="F152" t="inlineStr">
        <is>
          <t>JÖNKÖPINGS LÄN</t>
        </is>
      </c>
      <c r="G152" t="inlineStr">
        <is>
          <t>NÄSSJÖ</t>
        </is>
      </c>
      <c r="H152" t="inlineStr">
        <is>
          <t>Kyrkan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45372</v>
      </c>
      <c r="E153" s="1" t="n">
        <v>46283</v>
      </c>
      <c r="F153" t="inlineStr">
        <is>
          <t>JÖNKÖPINGS LÄN</t>
        </is>
      </c>
      <c r="G153" t="inlineStr">
        <is>
          <t>NÄSSJÖ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46283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46283</v>
      </c>
      <c r="F155" t="inlineStr">
        <is>
          <t>JÖNKÖPINGS LÄN</t>
        </is>
      </c>
      <c r="G155" t="inlineStr">
        <is>
          <t>NÄSSJÖ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9595-2026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46071</v>
      </c>
      <c r="E156" s="1" t="n">
        <v>46283</v>
      </c>
      <c r="F156" t="inlineStr">
        <is>
          <t>JÖNKÖPINGS LÄN</t>
        </is>
      </c>
      <c r="G156" t="inlineStr">
        <is>
          <t>NÄSSJÖ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46283</v>
      </c>
      <c r="F157" t="inlineStr">
        <is>
          <t>JÖNKÖPINGS LÄN</t>
        </is>
      </c>
      <c r="G157" t="inlineStr">
        <is>
          <t>NÄSSJÖ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46074</v>
      </c>
      <c r="E158" s="1" t="n">
        <v>46283</v>
      </c>
      <c r="F158" t="inlineStr">
        <is>
          <t>JÖNKÖPINGS LÄN</t>
        </is>
      </c>
      <c r="G158" t="inlineStr">
        <is>
          <t>NÄSSJÖ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45742</v>
      </c>
      <c r="E159" s="1" t="n">
        <v>46283</v>
      </c>
      <c r="F159" t="inlineStr">
        <is>
          <t>JÖNKÖPINGS LÄN</t>
        </is>
      </c>
      <c r="G159" t="inlineStr">
        <is>
          <t>NÄSSJÖ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46283</v>
      </c>
      <c r="F160" t="inlineStr">
        <is>
          <t>JÖNKÖPINGS LÄN</t>
        </is>
      </c>
      <c r="G160" t="inlineStr">
        <is>
          <t>NÄSSJÖ</t>
        </is>
      </c>
      <c r="H160" t="inlineStr">
        <is>
          <t>Kyrkan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49880-2023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45213</v>
      </c>
      <c r="E161" s="1" t="n">
        <v>46283</v>
      </c>
      <c r="F161" t="inlineStr">
        <is>
          <t>JÖNKÖPINGS LÄN</t>
        </is>
      </c>
      <c r="G161" t="inlineStr">
        <is>
          <t>NÄSSJÖ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44945</v>
      </c>
      <c r="E162" s="1" t="n">
        <v>46283</v>
      </c>
      <c r="F162" t="inlineStr">
        <is>
          <t>JÖNKÖPINGS LÄN</t>
        </is>
      </c>
      <c r="G162" t="inlineStr">
        <is>
          <t>NÄSSJÖ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46283</v>
      </c>
      <c r="F163" t="inlineStr">
        <is>
          <t>JÖNKÖPINGS LÄN</t>
        </is>
      </c>
      <c r="G163" t="inlineStr">
        <is>
          <t>NÄSSJÖ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46283</v>
      </c>
      <c r="F164" t="inlineStr">
        <is>
          <t>JÖNKÖPINGS LÄN</t>
        </is>
      </c>
      <c r="G164" t="inlineStr">
        <is>
          <t>NÄSSJÖ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45794</v>
      </c>
      <c r="E165" s="1" t="n">
        <v>46283</v>
      </c>
      <c r="F165" t="inlineStr">
        <is>
          <t>JÖNKÖPINGS LÄN</t>
        </is>
      </c>
      <c r="G165" t="inlineStr">
        <is>
          <t>NÄSSJÖ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46283</v>
      </c>
      <c r="F166" t="inlineStr">
        <is>
          <t>JÖNKÖPINGS LÄN</t>
        </is>
      </c>
      <c r="G166" t="inlineStr">
        <is>
          <t>NÄSSJÖ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46283</v>
      </c>
      <c r="F167" t="inlineStr">
        <is>
          <t>JÖNKÖPINGS LÄN</t>
        </is>
      </c>
      <c r="G167" t="inlineStr">
        <is>
          <t>NÄSSJÖ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46283</v>
      </c>
      <c r="F168" t="inlineStr">
        <is>
          <t>JÖNKÖPINGS LÄN</t>
        </is>
      </c>
      <c r="G168" t="inlineStr">
        <is>
          <t>NÄSSJÖ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46283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46283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46283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46283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46091</v>
      </c>
      <c r="E173" s="1" t="n">
        <v>46283</v>
      </c>
      <c r="F173" t="inlineStr">
        <is>
          <t>JÖNKÖPINGS LÄN</t>
        </is>
      </c>
      <c r="G173" t="inlineStr">
        <is>
          <t>NÄSSJÖ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46283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46283</v>
      </c>
      <c r="F175" t="inlineStr">
        <is>
          <t>JÖNKÖPINGS LÄN</t>
        </is>
      </c>
      <c r="G175" t="inlineStr">
        <is>
          <t>NÄSSJÖ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12652-2026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46091</v>
      </c>
      <c r="E176" s="1" t="n">
        <v>46283</v>
      </c>
      <c r="F176" t="inlineStr">
        <is>
          <t>JÖNKÖPINGS LÄN</t>
        </is>
      </c>
      <c r="G176" t="inlineStr">
        <is>
          <t>NÄSSJÖ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46283</v>
      </c>
      <c r="F177" t="inlineStr">
        <is>
          <t>JÖNKÖPINGS LÄN</t>
        </is>
      </c>
      <c r="G177" t="inlineStr">
        <is>
          <t>NÄSSJÖ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46283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46283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46283</v>
      </c>
      <c r="F180" t="inlineStr">
        <is>
          <t>JÖNKÖPINGS LÄN</t>
        </is>
      </c>
      <c r="G180" t="inlineStr">
        <is>
          <t>NÄSSJÖ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46283</v>
      </c>
      <c r="F181" t="inlineStr">
        <is>
          <t>JÖNKÖPINGS LÄN</t>
        </is>
      </c>
      <c r="G181" t="inlineStr">
        <is>
          <t>NÄSSJÖ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46283</v>
      </c>
      <c r="F182" t="inlineStr">
        <is>
          <t>JÖNKÖPINGS LÄN</t>
        </is>
      </c>
      <c r="G182" t="inlineStr">
        <is>
          <t>NÄSSJÖ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45843</v>
      </c>
      <c r="E183" s="1" t="n">
        <v>46283</v>
      </c>
      <c r="F183" t="inlineStr">
        <is>
          <t>JÖNKÖPINGS LÄN</t>
        </is>
      </c>
      <c r="G183" t="inlineStr">
        <is>
          <t>NÄSSJÖ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45843</v>
      </c>
      <c r="E184" s="1" t="n">
        <v>46283</v>
      </c>
      <c r="F184" t="inlineStr">
        <is>
          <t>JÖNKÖPINGS LÄN</t>
        </is>
      </c>
      <c r="G184" t="inlineStr">
        <is>
          <t>NÄSSJÖ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46283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46283</v>
      </c>
      <c r="F186" t="inlineStr">
        <is>
          <t>JÖNKÖPINGS LÄN</t>
        </is>
      </c>
      <c r="G186" t="inlineStr">
        <is>
          <t>NÄSSJÖ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46283</v>
      </c>
      <c r="F187" t="inlineStr">
        <is>
          <t>JÖNKÖPINGS LÄN</t>
        </is>
      </c>
      <c r="G187" t="inlineStr">
        <is>
          <t>NÄSSJÖ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46283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46283</v>
      </c>
      <c r="F189" t="inlineStr">
        <is>
          <t>JÖNKÖPINGS LÄN</t>
        </is>
      </c>
      <c r="G189" t="inlineStr">
        <is>
          <t>NÄSSJÖ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46283</v>
      </c>
      <c r="F190" t="inlineStr">
        <is>
          <t>JÖNKÖPINGS LÄN</t>
        </is>
      </c>
      <c r="G190" t="inlineStr">
        <is>
          <t>NÄSSJÖ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46283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46098</v>
      </c>
      <c r="E192" s="1" t="n">
        <v>46283</v>
      </c>
      <c r="F192" t="inlineStr">
        <is>
          <t>JÖNKÖPINGS LÄN</t>
        </is>
      </c>
      <c r="G192" t="inlineStr">
        <is>
          <t>NÄSSJÖ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45317</v>
      </c>
      <c r="E193" s="1" t="n">
        <v>46283</v>
      </c>
      <c r="F193" t="inlineStr">
        <is>
          <t>JÖNKÖPINGS LÄN</t>
        </is>
      </c>
      <c r="G193" t="inlineStr">
        <is>
          <t>NÄSSJÖ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46283</v>
      </c>
      <c r="F194" t="inlineStr">
        <is>
          <t>JÖNKÖPINGS LÄN</t>
        </is>
      </c>
      <c r="G194" t="inlineStr">
        <is>
          <t>NÄSSJÖ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46283</v>
      </c>
      <c r="F195" t="inlineStr">
        <is>
          <t>JÖNKÖPINGS LÄN</t>
        </is>
      </c>
      <c r="G195" t="inlineStr">
        <is>
          <t>NÄSSJÖ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50836-2021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44460</v>
      </c>
      <c r="E196" s="1" t="n">
        <v>46283</v>
      </c>
      <c r="F196" t="inlineStr">
        <is>
          <t>JÖNKÖPINGS LÄN</t>
        </is>
      </c>
      <c r="G196" t="inlineStr">
        <is>
          <t>NÄSSJÖ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46283</v>
      </c>
      <c r="F197" t="inlineStr">
        <is>
          <t>JÖNKÖPINGS LÄN</t>
        </is>
      </c>
      <c r="G197" t="inlineStr">
        <is>
          <t>NÄSSJÖ</t>
        </is>
      </c>
      <c r="H197" t="inlineStr">
        <is>
          <t>Kommuner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45013</v>
      </c>
      <c r="E198" s="1" t="n">
        <v>46283</v>
      </c>
      <c r="F198" t="inlineStr">
        <is>
          <t>JÖNKÖPINGS LÄN</t>
        </is>
      </c>
      <c r="G198" t="inlineStr">
        <is>
          <t>NÄSSJÖ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46283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46283</v>
      </c>
      <c r="F200" t="inlineStr">
        <is>
          <t>JÖNKÖPINGS LÄN</t>
        </is>
      </c>
      <c r="G200" t="inlineStr">
        <is>
          <t>NÄSSJÖ</t>
        </is>
      </c>
      <c r="H200" t="inlineStr">
        <is>
          <t>Kommuner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46283</v>
      </c>
      <c r="F201" t="inlineStr">
        <is>
          <t>JÖNKÖPINGS LÄN</t>
        </is>
      </c>
      <c r="G201" t="inlineStr">
        <is>
          <t>NÄSSJÖ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46283</v>
      </c>
      <c r="F202" t="inlineStr">
        <is>
          <t>JÖNKÖPINGS LÄN</t>
        </is>
      </c>
      <c r="G202" t="inlineStr">
        <is>
          <t>NÄSSJÖ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46283</v>
      </c>
      <c r="F203" t="inlineStr">
        <is>
          <t>JÖNKÖPINGS LÄN</t>
        </is>
      </c>
      <c r="G203" t="inlineStr">
        <is>
          <t>NÄSSJÖ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39555-2025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45890</v>
      </c>
      <c r="E204" s="1" t="n">
        <v>46283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45719</v>
      </c>
      <c r="E205" s="1" t="n">
        <v>46283</v>
      </c>
      <c r="F205" t="inlineStr">
        <is>
          <t>JÖNKÖPINGS LÄN</t>
        </is>
      </c>
      <c r="G205" t="inlineStr">
        <is>
          <t>NÄSSJÖ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46283</v>
      </c>
      <c r="F206" t="inlineStr">
        <is>
          <t>JÖNKÖPINGS LÄN</t>
        </is>
      </c>
      <c r="G206" t="inlineStr">
        <is>
          <t>NÄSSJÖ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46283</v>
      </c>
      <c r="F207" t="inlineStr">
        <is>
          <t>JÖNKÖPINGS LÄN</t>
        </is>
      </c>
      <c r="G207" t="inlineStr">
        <is>
          <t>NÄSSJÖ</t>
        </is>
      </c>
      <c r="H207" t="inlineStr">
        <is>
          <t>Kommuner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46283</v>
      </c>
      <c r="F208" t="inlineStr">
        <is>
          <t>JÖNKÖPINGS LÄN</t>
        </is>
      </c>
      <c r="G208" t="inlineStr">
        <is>
          <t>NÄSSJÖ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46283</v>
      </c>
      <c r="F209" t="inlineStr">
        <is>
          <t>JÖNKÖPINGS LÄN</t>
        </is>
      </c>
      <c r="G209" t="inlineStr">
        <is>
          <t>NÄSSJÖ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46283</v>
      </c>
      <c r="F210" t="inlineStr">
        <is>
          <t>JÖNKÖPINGS LÄN</t>
        </is>
      </c>
      <c r="G210" t="inlineStr">
        <is>
          <t>NÄSSJÖ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46283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46283</v>
      </c>
      <c r="F212" t="inlineStr">
        <is>
          <t>JÖNKÖPINGS LÄN</t>
        </is>
      </c>
      <c r="G212" t="inlineStr">
        <is>
          <t>NÄSSJÖ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46283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45732</v>
      </c>
      <c r="E214" s="1" t="n">
        <v>46283</v>
      </c>
      <c r="F214" t="inlineStr">
        <is>
          <t>JÖNKÖPINGS LÄN</t>
        </is>
      </c>
      <c r="G214" t="inlineStr">
        <is>
          <t>NÄSSJÖ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45892</v>
      </c>
      <c r="E215" s="1" t="n">
        <v>46283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46283</v>
      </c>
      <c r="F216" t="inlineStr">
        <is>
          <t>JÖNKÖPINGS LÄN</t>
        </is>
      </c>
      <c r="G216" t="inlineStr">
        <is>
          <t>NÄSSJÖ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46283</v>
      </c>
      <c r="F217" t="inlineStr">
        <is>
          <t>JÖNKÖPINGS LÄN</t>
        </is>
      </c>
      <c r="G217" t="inlineStr">
        <is>
          <t>NÄSSJÖ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46283</v>
      </c>
      <c r="F218" t="inlineStr">
        <is>
          <t>JÖNKÖPINGS LÄN</t>
        </is>
      </c>
      <c r="G218" t="inlineStr">
        <is>
          <t>NÄSSJÖ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46283</v>
      </c>
      <c r="F219" t="inlineStr">
        <is>
          <t>JÖNKÖPINGS LÄN</t>
        </is>
      </c>
      <c r="G219" t="inlineStr">
        <is>
          <t>NÄSSJÖ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46283</v>
      </c>
      <c r="F220" t="inlineStr">
        <is>
          <t>JÖNKÖPINGS LÄN</t>
        </is>
      </c>
      <c r="G220" t="inlineStr">
        <is>
          <t>NÄSSJÖ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46283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46283</v>
      </c>
      <c r="F222" t="inlineStr">
        <is>
          <t>JÖNKÖPINGS LÄN</t>
        </is>
      </c>
      <c r="G222" t="inlineStr">
        <is>
          <t>NÄSSJÖ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46283</v>
      </c>
      <c r="F223" t="inlineStr">
        <is>
          <t>JÖNKÖPINGS LÄN</t>
        </is>
      </c>
      <c r="G223" t="inlineStr">
        <is>
          <t>NÄSSJÖ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46283</v>
      </c>
      <c r="F224" t="inlineStr">
        <is>
          <t>JÖNKÖPINGS LÄN</t>
        </is>
      </c>
      <c r="G224" t="inlineStr">
        <is>
          <t>NÄSSJÖ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46283</v>
      </c>
      <c r="F225" t="inlineStr">
        <is>
          <t>JÖNKÖPINGS LÄN</t>
        </is>
      </c>
      <c r="G225" t="inlineStr">
        <is>
          <t>NÄSSJÖ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45631</v>
      </c>
      <c r="E226" s="1" t="n">
        <v>46283</v>
      </c>
      <c r="F226" t="inlineStr">
        <is>
          <t>JÖNKÖPINGS LÄN</t>
        </is>
      </c>
      <c r="G226" t="inlineStr">
        <is>
          <t>NÄSSJÖ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46283</v>
      </c>
      <c r="F227" t="inlineStr">
        <is>
          <t>JÖNKÖPINGS LÄN</t>
        </is>
      </c>
      <c r="G227" t="inlineStr">
        <is>
          <t>NÄSSJÖ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46283</v>
      </c>
      <c r="F228" t="inlineStr">
        <is>
          <t>JÖNKÖPINGS LÄN</t>
        </is>
      </c>
      <c r="G228" t="inlineStr">
        <is>
          <t>NÄSSJÖ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46283</v>
      </c>
      <c r="F229" t="inlineStr">
        <is>
          <t>JÖNKÖPINGS LÄN</t>
        </is>
      </c>
      <c r="G229" t="inlineStr">
        <is>
          <t>NÄSSJÖ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46283</v>
      </c>
      <c r="F230" t="inlineStr">
        <is>
          <t>JÖNKÖPINGS LÄN</t>
        </is>
      </c>
      <c r="G230" t="inlineStr">
        <is>
          <t>NÄSSJÖ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46129</v>
      </c>
      <c r="E231" s="1" t="n">
        <v>46283</v>
      </c>
      <c r="F231" t="inlineStr">
        <is>
          <t>JÖNKÖPINGS LÄN</t>
        </is>
      </c>
      <c r="G231" t="inlineStr">
        <is>
          <t>NÄSSJÖ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45899</v>
      </c>
      <c r="E232" s="1" t="n">
        <v>46283</v>
      </c>
      <c r="F232" t="inlineStr">
        <is>
          <t>JÖNKÖPINGS LÄN</t>
        </is>
      </c>
      <c r="G232" t="inlineStr">
        <is>
          <t>NÄSSJÖ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46283</v>
      </c>
      <c r="F233" t="inlineStr">
        <is>
          <t>JÖNKÖPINGS LÄN</t>
        </is>
      </c>
      <c r="G233" t="inlineStr">
        <is>
          <t>NÄSSJÖ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45904</v>
      </c>
      <c r="E234" s="1" t="n">
        <v>46283</v>
      </c>
      <c r="F234" t="inlineStr">
        <is>
          <t>JÖNKÖPINGS LÄN</t>
        </is>
      </c>
      <c r="G234" t="inlineStr">
        <is>
          <t>NÄSSJÖ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46283</v>
      </c>
      <c r="F235" t="inlineStr">
        <is>
          <t>JÖNKÖPINGS LÄN</t>
        </is>
      </c>
      <c r="G235" t="inlineStr">
        <is>
          <t>NÄSSJÖ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46283</v>
      </c>
      <c r="F236" t="inlineStr">
        <is>
          <t>JÖNKÖPINGS LÄN</t>
        </is>
      </c>
      <c r="G236" t="inlineStr">
        <is>
          <t>NÄSSJÖ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46283</v>
      </c>
      <c r="F237" t="inlineStr">
        <is>
          <t>JÖNKÖPINGS LÄN</t>
        </is>
      </c>
      <c r="G237" t="inlineStr">
        <is>
          <t>NÄSSJÖ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46283</v>
      </c>
      <c r="F238" t="inlineStr">
        <is>
          <t>JÖNKÖPINGS LÄN</t>
        </is>
      </c>
      <c r="G238" t="inlineStr">
        <is>
          <t>NÄSSJÖ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45728</v>
      </c>
      <c r="E239" s="1" t="n">
        <v>46283</v>
      </c>
      <c r="F239" t="inlineStr">
        <is>
          <t>JÖNKÖPINGS LÄN</t>
        </is>
      </c>
      <c r="G239" t="inlineStr">
        <is>
          <t>NÄSSJÖ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46283</v>
      </c>
      <c r="F240" t="inlineStr">
        <is>
          <t>JÖNKÖPINGS LÄN</t>
        </is>
      </c>
      <c r="G240" t="inlineStr">
        <is>
          <t>NÄSSJÖ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45907</v>
      </c>
      <c r="E241" s="1" t="n">
        <v>46283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45907</v>
      </c>
      <c r="E242" s="1" t="n">
        <v>46283</v>
      </c>
      <c r="F242" t="inlineStr">
        <is>
          <t>JÖNKÖPINGS LÄN</t>
        </is>
      </c>
      <c r="G242" t="inlineStr">
        <is>
          <t>NÄSSJÖ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46283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46283</v>
      </c>
      <c r="F244" t="inlineStr">
        <is>
          <t>JÖNKÖPINGS LÄN</t>
        </is>
      </c>
      <c r="G244" t="inlineStr">
        <is>
          <t>NÄSSJÖ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46283</v>
      </c>
      <c r="F245" t="inlineStr">
        <is>
          <t>JÖNKÖPINGS LÄN</t>
        </is>
      </c>
      <c r="G245" t="inlineStr">
        <is>
          <t>NÄSSJÖ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46283</v>
      </c>
      <c r="F246" t="inlineStr">
        <is>
          <t>JÖNKÖPINGS LÄN</t>
        </is>
      </c>
      <c r="G246" t="inlineStr">
        <is>
          <t>NÄSSJÖ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54303-2021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44472</v>
      </c>
      <c r="E247" s="1" t="n">
        <v>46283</v>
      </c>
      <c r="F247" t="inlineStr">
        <is>
          <t>JÖNKÖPINGS LÄN</t>
        </is>
      </c>
      <c r="G247" t="inlineStr">
        <is>
          <t>NÄSSJÖ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10060-2023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46283</v>
      </c>
      <c r="F248" t="inlineStr">
        <is>
          <t>JÖNKÖPINGS LÄN</t>
        </is>
      </c>
      <c r="G248" t="inlineStr">
        <is>
          <t>NÄSSJÖ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46283</v>
      </c>
      <c r="F249" t="inlineStr">
        <is>
          <t>JÖNKÖPINGS LÄN</t>
        </is>
      </c>
      <c r="G249" t="inlineStr">
        <is>
          <t>NÄSSJÖ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46283</v>
      </c>
      <c r="F250" t="inlineStr">
        <is>
          <t>JÖNKÖPINGS LÄN</t>
        </is>
      </c>
      <c r="G250" t="inlineStr">
        <is>
          <t>NÄSSJÖ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46135</v>
      </c>
      <c r="E251" s="1" t="n">
        <v>46283</v>
      </c>
      <c r="F251" t="inlineStr">
        <is>
          <t>JÖNKÖPINGS LÄN</t>
        </is>
      </c>
      <c r="G251" t="inlineStr">
        <is>
          <t>NÄSSJÖ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46283</v>
      </c>
      <c r="F252" t="inlineStr">
        <is>
          <t>JÖNKÖPINGS LÄN</t>
        </is>
      </c>
      <c r="G252" t="inlineStr">
        <is>
          <t>NÄSSJÖ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46283</v>
      </c>
      <c r="F253" t="inlineStr">
        <is>
          <t>JÖNKÖPINGS LÄN</t>
        </is>
      </c>
      <c r="G253" t="inlineStr">
        <is>
          <t>NÄSSJÖ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46283</v>
      </c>
      <c r="F254" t="inlineStr">
        <is>
          <t>JÖNKÖPINGS LÄN</t>
        </is>
      </c>
      <c r="G254" t="inlineStr">
        <is>
          <t>NÄSSJÖ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46283</v>
      </c>
      <c r="F255" t="inlineStr">
        <is>
          <t>JÖNKÖPINGS LÄN</t>
        </is>
      </c>
      <c r="G255" t="inlineStr">
        <is>
          <t>NÄSSJÖ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35811-2023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45148</v>
      </c>
      <c r="E256" s="1" t="n">
        <v>46283</v>
      </c>
      <c r="F256" t="inlineStr">
        <is>
          <t>JÖNKÖPINGS LÄN</t>
        </is>
      </c>
      <c r="G256" t="inlineStr">
        <is>
          <t>NÄSSJÖ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46283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44763-2025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45917</v>
      </c>
      <c r="E258" s="1" t="n">
        <v>46283</v>
      </c>
      <c r="F258" t="inlineStr">
        <is>
          <t>JÖNKÖPINGS LÄN</t>
        </is>
      </c>
      <c r="G258" t="inlineStr">
        <is>
          <t>NÄSSJÖ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44988</v>
      </c>
      <c r="E259" s="1" t="n">
        <v>46283</v>
      </c>
      <c r="F259" t="inlineStr">
        <is>
          <t>JÖNKÖPINGS LÄN</t>
        </is>
      </c>
      <c r="G259" t="inlineStr">
        <is>
          <t>NÄSSJÖ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46283</v>
      </c>
      <c r="F260" t="inlineStr">
        <is>
          <t>JÖNKÖPINGS LÄN</t>
        </is>
      </c>
      <c r="G260" t="inlineStr">
        <is>
          <t>NÄSSJÖ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12720-2025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46283</v>
      </c>
      <c r="F261" t="inlineStr">
        <is>
          <t>JÖNKÖPINGS LÄN</t>
        </is>
      </c>
      <c r="G261" t="inlineStr">
        <is>
          <t>NÄSSJÖ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45821</v>
      </c>
      <c r="E262" s="1" t="n">
        <v>46283</v>
      </c>
      <c r="F262" t="inlineStr">
        <is>
          <t>JÖNKÖPINGS LÄN</t>
        </is>
      </c>
      <c r="G262" t="inlineStr">
        <is>
          <t>NÄSSJÖ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44804</v>
      </c>
      <c r="E263" s="1" t="n">
        <v>46283</v>
      </c>
      <c r="F263" t="inlineStr">
        <is>
          <t>JÖNKÖPINGS LÄN</t>
        </is>
      </c>
      <c r="G263" t="inlineStr">
        <is>
          <t>NÄSSJÖ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63741-2023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45277</v>
      </c>
      <c r="E264" s="1" t="n">
        <v>46283</v>
      </c>
      <c r="F264" t="inlineStr">
        <is>
          <t>JÖNKÖPINGS LÄN</t>
        </is>
      </c>
      <c r="G264" t="inlineStr">
        <is>
          <t>NÄSSJÖ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45677</v>
      </c>
      <c r="E265" s="1" t="n">
        <v>46283</v>
      </c>
      <c r="F265" t="inlineStr">
        <is>
          <t>JÖNKÖPINGS LÄN</t>
        </is>
      </c>
      <c r="G265" t="inlineStr">
        <is>
          <t>NÄSSJÖ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45732</v>
      </c>
      <c r="E266" s="1" t="n">
        <v>46283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46283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46283</v>
      </c>
      <c r="F268" t="inlineStr">
        <is>
          <t>JÖNKÖPINGS LÄN</t>
        </is>
      </c>
      <c r="G268" t="inlineStr">
        <is>
          <t>NÄSSJÖ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46283</v>
      </c>
      <c r="F269" t="inlineStr">
        <is>
          <t>JÖNKÖPINGS LÄN</t>
        </is>
      </c>
      <c r="G269" t="inlineStr">
        <is>
          <t>NÄSSJÖ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46283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46283</v>
      </c>
      <c r="F271" t="inlineStr">
        <is>
          <t>JÖNKÖPINGS LÄN</t>
        </is>
      </c>
      <c r="G271" t="inlineStr">
        <is>
          <t>NÄSSJÖ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45083</v>
      </c>
      <c r="E272" s="1" t="n">
        <v>46283</v>
      </c>
      <c r="F272" t="inlineStr">
        <is>
          <t>JÖNKÖPINGS LÄN</t>
        </is>
      </c>
      <c r="G272" t="inlineStr">
        <is>
          <t>NÄSSJÖ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46283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45694</v>
      </c>
      <c r="E274" s="1" t="n">
        <v>46283</v>
      </c>
      <c r="F274" t="inlineStr">
        <is>
          <t>JÖNKÖPINGS LÄN</t>
        </is>
      </c>
      <c r="G274" t="inlineStr">
        <is>
          <t>NÄSSJÖ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46283</v>
      </c>
      <c r="F275" t="inlineStr">
        <is>
          <t>JÖNKÖPINGS LÄN</t>
        </is>
      </c>
      <c r="G275" t="inlineStr">
        <is>
          <t>NÄSSJÖ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45481</v>
      </c>
      <c r="E276" s="1" t="n">
        <v>46283</v>
      </c>
      <c r="F276" t="inlineStr">
        <is>
          <t>JÖNKÖPINGS LÄN</t>
        </is>
      </c>
      <c r="G276" t="inlineStr">
        <is>
          <t>NÄSSJÖ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46283</v>
      </c>
      <c r="F277" t="inlineStr">
        <is>
          <t>JÖNKÖPINGS LÄN</t>
        </is>
      </c>
      <c r="G277" t="inlineStr">
        <is>
          <t>NÄSSJÖ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45916</v>
      </c>
      <c r="E278" s="1" t="n">
        <v>46283</v>
      </c>
      <c r="F278" t="inlineStr">
        <is>
          <t>JÖNKÖPINGS LÄN</t>
        </is>
      </c>
      <c r="G278" t="inlineStr">
        <is>
          <t>NÄSSJÖ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20606-2026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46140</v>
      </c>
      <c r="E279" s="1" t="n">
        <v>46283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46283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44826</v>
      </c>
      <c r="E281" s="1" t="n">
        <v>46283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46283</v>
      </c>
      <c r="F282" t="inlineStr">
        <is>
          <t>JÖNKÖPINGS LÄN</t>
        </is>
      </c>
      <c r="G282" t="inlineStr">
        <is>
          <t>NÄSSJÖ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46283</v>
      </c>
      <c r="F283" t="inlineStr">
        <is>
          <t>JÖNKÖPINGS LÄN</t>
        </is>
      </c>
      <c r="G283" t="inlineStr">
        <is>
          <t>NÄSSJÖ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63635-2023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46283</v>
      </c>
      <c r="F284" t="inlineStr">
        <is>
          <t>JÖNKÖPINGS LÄN</t>
        </is>
      </c>
      <c r="G284" t="inlineStr">
        <is>
          <t>NÄSSJÖ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45732</v>
      </c>
      <c r="E285" s="1" t="n">
        <v>46283</v>
      </c>
      <c r="F285" t="inlineStr">
        <is>
          <t>JÖNKÖPINGS LÄN</t>
        </is>
      </c>
      <c r="G285" t="inlineStr">
        <is>
          <t>NÄSSJÖ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44608</v>
      </c>
      <c r="E286" s="1" t="n">
        <v>46283</v>
      </c>
      <c r="F286" t="inlineStr">
        <is>
          <t>JÖNKÖPINGS LÄN</t>
        </is>
      </c>
      <c r="G286" t="inlineStr">
        <is>
          <t>NÄSSJÖ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44858</v>
      </c>
      <c r="E287" s="1" t="n">
        <v>46283</v>
      </c>
      <c r="F287" t="inlineStr">
        <is>
          <t>JÖNKÖPINGS LÄN</t>
        </is>
      </c>
      <c r="G287" t="inlineStr">
        <is>
          <t>NÄSSJÖ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46283</v>
      </c>
      <c r="F288" t="inlineStr">
        <is>
          <t>JÖNKÖPINGS LÄN</t>
        </is>
      </c>
      <c r="G288" t="inlineStr">
        <is>
          <t>NÄSSJÖ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44928</v>
      </c>
      <c r="E289" s="1" t="n">
        <v>46283</v>
      </c>
      <c r="F289" t="inlineStr">
        <is>
          <t>JÖNKÖPINGS LÄN</t>
        </is>
      </c>
      <c r="G289" t="inlineStr">
        <is>
          <t>NÄSSJÖ</t>
        </is>
      </c>
      <c r="I289" t="n">
        <v>13.7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46283</v>
      </c>
      <c r="F290" t="inlineStr">
        <is>
          <t>JÖNKÖPINGS LÄN</t>
        </is>
      </c>
      <c r="G290" t="inlineStr">
        <is>
          <t>NÄSSJÖ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45380</v>
      </c>
      <c r="E291" s="1" t="n">
        <v>46283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15862-2022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44664</v>
      </c>
      <c r="E292" s="1" t="n">
        <v>46283</v>
      </c>
      <c r="F292" t="inlineStr">
        <is>
          <t>JÖNKÖPINGS LÄN</t>
        </is>
      </c>
      <c r="G292" t="inlineStr">
        <is>
          <t>NÄSSJÖ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45109</v>
      </c>
      <c r="E293" s="1" t="n">
        <v>46283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45732</v>
      </c>
      <c r="E294" s="1" t="n">
        <v>46283</v>
      </c>
      <c r="F294" t="inlineStr">
        <is>
          <t>JÖNKÖPINGS LÄN</t>
        </is>
      </c>
      <c r="G294" t="inlineStr">
        <is>
          <t>NÄSSJÖ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45391</v>
      </c>
      <c r="E295" s="1" t="n">
        <v>46283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45391</v>
      </c>
      <c r="E296" s="1" t="n">
        <v>46283</v>
      </c>
      <c r="F296" t="inlineStr">
        <is>
          <t>JÖNKÖPINGS LÄN</t>
        </is>
      </c>
      <c r="G296" t="inlineStr">
        <is>
          <t>NÄSSJÖ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45013</v>
      </c>
      <c r="E297" s="1" t="n">
        <v>46283</v>
      </c>
      <c r="F297" t="inlineStr">
        <is>
          <t>JÖNKÖPINGS LÄN</t>
        </is>
      </c>
      <c r="G297" t="inlineStr">
        <is>
          <t>NÄSSJÖ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52718-2024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45610</v>
      </c>
      <c r="E298" s="1" t="n">
        <v>46283</v>
      </c>
      <c r="F298" t="inlineStr">
        <is>
          <t>JÖNKÖPINGS LÄN</t>
        </is>
      </c>
      <c r="G298" t="inlineStr">
        <is>
          <t>NÄSSJÖ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45380</v>
      </c>
      <c r="E299" s="1" t="n">
        <v>46283</v>
      </c>
      <c r="F299" t="inlineStr">
        <is>
          <t>JÖNKÖPINGS LÄN</t>
        </is>
      </c>
      <c r="G299" t="inlineStr">
        <is>
          <t>NÄSSJÖ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46283</v>
      </c>
      <c r="F300" t="inlineStr">
        <is>
          <t>JÖNKÖPINGS LÄN</t>
        </is>
      </c>
      <c r="G300" t="inlineStr">
        <is>
          <t>NÄSSJÖ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46283</v>
      </c>
      <c r="F301" t="inlineStr">
        <is>
          <t>JÖNKÖPINGS LÄN</t>
        </is>
      </c>
      <c r="G301" t="inlineStr">
        <is>
          <t>NÄSSJÖ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57918-2021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44487</v>
      </c>
      <c r="E302" s="1" t="n">
        <v>46283</v>
      </c>
      <c r="F302" t="inlineStr">
        <is>
          <t>JÖNKÖPINGS LÄN</t>
        </is>
      </c>
      <c r="G302" t="inlineStr">
        <is>
          <t>NÄSSJÖ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15993-2022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44665</v>
      </c>
      <c r="E303" s="1" t="n">
        <v>46283</v>
      </c>
      <c r="F303" t="inlineStr">
        <is>
          <t>JÖNKÖPINGS LÄN</t>
        </is>
      </c>
      <c r="G303" t="inlineStr">
        <is>
          <t>NÄSSJÖ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46283</v>
      </c>
      <c r="F304" t="inlineStr">
        <is>
          <t>JÖNKÖPINGS LÄN</t>
        </is>
      </c>
      <c r="G304" t="inlineStr">
        <is>
          <t>NÄSSJÖ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46283</v>
      </c>
      <c r="F305" t="inlineStr">
        <is>
          <t>JÖNKÖPINGS LÄN</t>
        </is>
      </c>
      <c r="G305" t="inlineStr">
        <is>
          <t>NÄSSJÖ</t>
        </is>
      </c>
      <c r="H305" t="inlineStr">
        <is>
          <t>Kommuner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46283</v>
      </c>
      <c r="F306" t="inlineStr">
        <is>
          <t>JÖNKÖPINGS LÄN</t>
        </is>
      </c>
      <c r="G306" t="inlineStr">
        <is>
          <t>NÄSSJÖ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50219-2025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45943</v>
      </c>
      <c r="E307" s="1" t="n">
        <v>46283</v>
      </c>
      <c r="F307" t="inlineStr">
        <is>
          <t>JÖNKÖPINGS LÄN</t>
        </is>
      </c>
      <c r="G307" t="inlineStr">
        <is>
          <t>NÄSSJÖ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50220-2025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46283</v>
      </c>
      <c r="F308" t="inlineStr">
        <is>
          <t>JÖNKÖPINGS LÄN</t>
        </is>
      </c>
      <c r="G308" t="inlineStr">
        <is>
          <t>NÄSSJÖ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57678-2021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44484</v>
      </c>
      <c r="E309" s="1" t="n">
        <v>46283</v>
      </c>
      <c r="F309" t="inlineStr">
        <is>
          <t>JÖNKÖPINGS LÄN</t>
        </is>
      </c>
      <c r="G309" t="inlineStr">
        <is>
          <t>NÄSSJÖ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45277</v>
      </c>
      <c r="E310" s="1" t="n">
        <v>46283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46283</v>
      </c>
      <c r="F311" t="inlineStr">
        <is>
          <t>JÖNKÖPINGS LÄN</t>
        </is>
      </c>
      <c r="G311" t="inlineStr">
        <is>
          <t>NÄSSJÖ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45163</v>
      </c>
      <c r="E312" s="1" t="n">
        <v>46283</v>
      </c>
      <c r="F312" t="inlineStr">
        <is>
          <t>JÖNKÖPINGS LÄN</t>
        </is>
      </c>
      <c r="G312" t="inlineStr">
        <is>
          <t>NÄSSJÖ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45335</v>
      </c>
      <c r="E313" s="1" t="n">
        <v>46283</v>
      </c>
      <c r="F313" t="inlineStr">
        <is>
          <t>JÖNKÖPINGS LÄN</t>
        </is>
      </c>
      <c r="G313" t="inlineStr">
        <is>
          <t>NÄSSJÖ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45335</v>
      </c>
      <c r="E314" s="1" t="n">
        <v>46283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44993</v>
      </c>
      <c r="E315" s="1" t="n">
        <v>46283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46283</v>
      </c>
      <c r="F316" t="inlineStr">
        <is>
          <t>JÖNKÖPINGS LÄN</t>
        </is>
      </c>
      <c r="G316" t="inlineStr">
        <is>
          <t>NÄSSJÖ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46283</v>
      </c>
      <c r="F317" t="inlineStr">
        <is>
          <t>JÖNKÖPINGS LÄN</t>
        </is>
      </c>
      <c r="G317" t="inlineStr">
        <is>
          <t>NÄSSJÖ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45942</v>
      </c>
      <c r="E318" s="1" t="n">
        <v>46283</v>
      </c>
      <c r="F318" t="inlineStr">
        <is>
          <t>JÖNKÖPINGS LÄN</t>
        </is>
      </c>
      <c r="G318" t="inlineStr">
        <is>
          <t>NÄSSJÖ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45106</v>
      </c>
      <c r="E319" s="1" t="n">
        <v>46283</v>
      </c>
      <c r="F319" t="inlineStr">
        <is>
          <t>JÖNKÖPINGS LÄN</t>
        </is>
      </c>
      <c r="G319" t="inlineStr">
        <is>
          <t>NÄSSJÖ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46283</v>
      </c>
      <c r="F320" t="inlineStr">
        <is>
          <t>JÖNKÖPINGS LÄN</t>
        </is>
      </c>
      <c r="G320" t="inlineStr">
        <is>
          <t>NÄSSJÖ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46283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46283</v>
      </c>
      <c r="F322" t="inlineStr">
        <is>
          <t>JÖNKÖPINGS LÄN</t>
        </is>
      </c>
      <c r="G322" t="inlineStr">
        <is>
          <t>NÄSSJÖ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46283</v>
      </c>
      <c r="F323" t="inlineStr">
        <is>
          <t>JÖNKÖPINGS LÄN</t>
        </is>
      </c>
      <c r="G323" t="inlineStr">
        <is>
          <t>NÄSSJÖ</t>
        </is>
      </c>
      <c r="H323" t="inlineStr">
        <is>
          <t>Sveaskog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45760</v>
      </c>
      <c r="E324" s="1" t="n">
        <v>46283</v>
      </c>
      <c r="F324" t="inlineStr">
        <is>
          <t>JÖNKÖPINGS LÄN</t>
        </is>
      </c>
      <c r="G324" t="inlineStr">
        <is>
          <t>NÄSSJÖ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24873-2026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46174</v>
      </c>
      <c r="E325" s="1" t="n">
        <v>46283</v>
      </c>
      <c r="F325" t="inlineStr">
        <is>
          <t>JÖNKÖPINGS LÄN</t>
        </is>
      </c>
      <c r="G325" t="inlineStr">
        <is>
          <t>NÄSSJÖ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50439-2025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45944</v>
      </c>
      <c r="E326" s="1" t="n">
        <v>46283</v>
      </c>
      <c r="F326" t="inlineStr">
        <is>
          <t>JÖNKÖPINGS LÄN</t>
        </is>
      </c>
      <c r="G326" t="inlineStr">
        <is>
          <t>NÄSSJÖ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46283</v>
      </c>
      <c r="F327" t="inlineStr">
        <is>
          <t>JÖNKÖPINGS LÄN</t>
        </is>
      </c>
      <c r="G327" t="inlineStr">
        <is>
          <t>NÄSSJÖ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46283</v>
      </c>
      <c r="F328" t="inlineStr">
        <is>
          <t>JÖNKÖPINGS LÄN</t>
        </is>
      </c>
      <c r="G328" t="inlineStr">
        <is>
          <t>NÄSSJÖ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45590</v>
      </c>
      <c r="E329" s="1" t="n">
        <v>46283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46283</v>
      </c>
      <c r="F330" t="inlineStr">
        <is>
          <t>JÖNKÖPINGS LÄN</t>
        </is>
      </c>
      <c r="G330" t="inlineStr">
        <is>
          <t>NÄSSJÖ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63630-2023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45275</v>
      </c>
      <c r="E331" s="1" t="n">
        <v>46283</v>
      </c>
      <c r="F331" t="inlineStr">
        <is>
          <t>JÖNKÖPINGS LÄN</t>
        </is>
      </c>
      <c r="G331" t="inlineStr">
        <is>
          <t>NÄSSJÖ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46283</v>
      </c>
      <c r="F332" t="inlineStr">
        <is>
          <t>JÖNKÖPINGS LÄN</t>
        </is>
      </c>
      <c r="G332" t="inlineStr">
        <is>
          <t>NÄSSJÖ</t>
        </is>
      </c>
      <c r="H332" t="inlineStr">
        <is>
          <t>Sveaskog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45109</v>
      </c>
      <c r="E333" s="1" t="n">
        <v>46283</v>
      </c>
      <c r="F333" t="inlineStr">
        <is>
          <t>JÖNKÖPINGS LÄN</t>
        </is>
      </c>
      <c r="G333" t="inlineStr">
        <is>
          <t>NÄSSJÖ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45109</v>
      </c>
      <c r="E334" s="1" t="n">
        <v>46283</v>
      </c>
      <c r="F334" t="inlineStr">
        <is>
          <t>JÖNKÖPINGS LÄN</t>
        </is>
      </c>
      <c r="G334" t="inlineStr">
        <is>
          <t>NÄSSJÖ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46283</v>
      </c>
      <c r="F335" t="inlineStr">
        <is>
          <t>JÖNKÖPINGS LÄN</t>
        </is>
      </c>
      <c r="G335" t="inlineStr">
        <is>
          <t>NÄSSJÖ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44609</v>
      </c>
      <c r="E336" s="1" t="n">
        <v>46283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46283</v>
      </c>
      <c r="F337" t="inlineStr">
        <is>
          <t>JÖNKÖPINGS LÄN</t>
        </is>
      </c>
      <c r="G337" t="inlineStr">
        <is>
          <t>NÄSSJÖ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35967-2023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45148</v>
      </c>
      <c r="E338" s="1" t="n">
        <v>46283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46283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45275</v>
      </c>
      <c r="E340" s="1" t="n">
        <v>46283</v>
      </c>
      <c r="F340" t="inlineStr">
        <is>
          <t>JÖNKÖPINGS LÄN</t>
        </is>
      </c>
      <c r="G340" t="inlineStr">
        <is>
          <t>NÄSSJÖ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45648-2024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45579</v>
      </c>
      <c r="E341" s="1" t="n">
        <v>46283</v>
      </c>
      <c r="F341" t="inlineStr">
        <is>
          <t>JÖNKÖPINGS LÄN</t>
        </is>
      </c>
      <c r="G341" t="inlineStr">
        <is>
          <t>NÄSSJÖ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44766-2023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45190</v>
      </c>
      <c r="E342" s="1" t="n">
        <v>46283</v>
      </c>
      <c r="F342" t="inlineStr">
        <is>
          <t>JÖNKÖPINGS LÄN</t>
        </is>
      </c>
      <c r="G342" t="inlineStr">
        <is>
          <t>NÄSSJÖ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45951</v>
      </c>
      <c r="E343" s="1" t="n">
        <v>46283</v>
      </c>
      <c r="F343" t="inlineStr">
        <is>
          <t>JÖNKÖPINGS LÄN</t>
        </is>
      </c>
      <c r="G343" t="inlineStr">
        <is>
          <t>NÄSSJÖ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45446</v>
      </c>
      <c r="E344" s="1" t="n">
        <v>46283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45742</v>
      </c>
      <c r="E345" s="1" t="n">
        <v>46283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31172-2024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45503</v>
      </c>
      <c r="E346" s="1" t="n">
        <v>46283</v>
      </c>
      <c r="F346" t="inlineStr">
        <is>
          <t>JÖNKÖPINGS LÄN</t>
        </is>
      </c>
      <c r="G346" t="inlineStr">
        <is>
          <t>NÄSSJÖ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46283</v>
      </c>
      <c r="F347" t="inlineStr">
        <is>
          <t>JÖNKÖPINGS LÄN</t>
        </is>
      </c>
      <c r="G347" t="inlineStr">
        <is>
          <t>NÄSSJÖ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46283</v>
      </c>
      <c r="F348" t="inlineStr">
        <is>
          <t>JÖNKÖPINGS LÄN</t>
        </is>
      </c>
      <c r="G348" t="inlineStr">
        <is>
          <t>NÄSSJÖ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46187</v>
      </c>
      <c r="E349" s="1" t="n">
        <v>46283</v>
      </c>
      <c r="F349" t="inlineStr">
        <is>
          <t>JÖNKÖPINGS LÄN</t>
        </is>
      </c>
      <c r="G349" t="inlineStr">
        <is>
          <t>NÄSSJÖ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46187</v>
      </c>
      <c r="E350" s="1" t="n">
        <v>46283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46187</v>
      </c>
      <c r="E351" s="1" t="n">
        <v>46283</v>
      </c>
      <c r="F351" t="inlineStr">
        <is>
          <t>JÖNKÖPINGS LÄN</t>
        </is>
      </c>
      <c r="G351" t="inlineStr">
        <is>
          <t>NÄSSJÖ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46283</v>
      </c>
      <c r="F352" t="inlineStr">
        <is>
          <t>JÖNKÖPINGS LÄN</t>
        </is>
      </c>
      <c r="G352" t="inlineStr">
        <is>
          <t>NÄSSJÖ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46283</v>
      </c>
      <c r="F353" t="inlineStr">
        <is>
          <t>JÖNKÖPINGS LÄN</t>
        </is>
      </c>
      <c r="G353" t="inlineStr">
        <is>
          <t>NÄSSJÖ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46283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50562-2023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46283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46283</v>
      </c>
      <c r="F356" t="inlineStr">
        <is>
          <t>JÖNKÖPINGS LÄN</t>
        </is>
      </c>
      <c r="G356" t="inlineStr">
        <is>
          <t>NÄSSJÖ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44594</v>
      </c>
      <c r="E357" s="1" t="n">
        <v>46283</v>
      </c>
      <c r="F357" t="inlineStr">
        <is>
          <t>JÖNKÖPINGS LÄN</t>
        </is>
      </c>
      <c r="G357" t="inlineStr">
        <is>
          <t>NÄSSJÖ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64665-2023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45281</v>
      </c>
      <c r="E358" s="1" t="n">
        <v>46283</v>
      </c>
      <c r="F358" t="inlineStr">
        <is>
          <t>JÖNKÖPINGS LÄN</t>
        </is>
      </c>
      <c r="G358" t="inlineStr">
        <is>
          <t>NÄSSJÖ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28257-2026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46283</v>
      </c>
      <c r="F359" t="inlineStr">
        <is>
          <t>JÖNKÖPINGS LÄN</t>
        </is>
      </c>
      <c r="G359" t="inlineStr">
        <is>
          <t>NÄSSJÖ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46196</v>
      </c>
      <c r="E360" s="1" t="n">
        <v>46283</v>
      </c>
      <c r="F360" t="inlineStr">
        <is>
          <t>JÖNKÖPINGS LÄN</t>
        </is>
      </c>
      <c r="G360" t="inlineStr">
        <is>
          <t>NÄSSJÖ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44988</v>
      </c>
      <c r="E361" s="1" t="n">
        <v>46283</v>
      </c>
      <c r="F361" t="inlineStr">
        <is>
          <t>JÖNKÖPINGS LÄN</t>
        </is>
      </c>
      <c r="G361" t="inlineStr">
        <is>
          <t>NÄSSJÖ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38783-2022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44816</v>
      </c>
      <c r="E362" s="1" t="n">
        <v>46283</v>
      </c>
      <c r="F362" t="inlineStr">
        <is>
          <t>JÖNKÖPINGS LÄN</t>
        </is>
      </c>
      <c r="G362" t="inlineStr">
        <is>
          <t>NÄSSJÖ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50488-2024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46283</v>
      </c>
      <c r="F363" t="inlineStr">
        <is>
          <t>JÖNKÖPINGS LÄN</t>
        </is>
      </c>
      <c r="G363" t="inlineStr">
        <is>
          <t>NÄSSJÖ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46283</v>
      </c>
      <c r="F364" t="inlineStr">
        <is>
          <t>JÖNKÖPINGS LÄN</t>
        </is>
      </c>
      <c r="G364" t="inlineStr">
        <is>
          <t>NÄSSJÖ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32828-2026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46243</v>
      </c>
      <c r="E365" s="1" t="n">
        <v>46283</v>
      </c>
      <c r="F365" t="inlineStr">
        <is>
          <t>JÖNKÖPINGS LÄN</t>
        </is>
      </c>
      <c r="G365" t="inlineStr">
        <is>
          <t>NÄSSJÖ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46243</v>
      </c>
      <c r="E366" s="1" t="n">
        <v>46283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46283</v>
      </c>
      <c r="F367" t="inlineStr">
        <is>
          <t>JÖNKÖPINGS LÄN</t>
        </is>
      </c>
      <c r="G367" t="inlineStr">
        <is>
          <t>NÄSSJÖ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11363-2024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46283</v>
      </c>
      <c r="F368" t="inlineStr">
        <is>
          <t>JÖNKÖPINGS LÄN</t>
        </is>
      </c>
      <c r="G368" t="inlineStr">
        <is>
          <t>NÄSSJÖ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46283</v>
      </c>
      <c r="F369" t="inlineStr">
        <is>
          <t>JÖNKÖPINGS LÄN</t>
        </is>
      </c>
      <c r="G369" t="inlineStr">
        <is>
          <t>NÄSSJÖ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46283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15819-2022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46283</v>
      </c>
      <c r="F371" t="inlineStr">
        <is>
          <t>JÖNKÖPINGS LÄN</t>
        </is>
      </c>
      <c r="G371" t="inlineStr">
        <is>
          <t>NÄSSJÖ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46283</v>
      </c>
      <c r="F372" t="inlineStr">
        <is>
          <t>JÖNKÖPINGS LÄN</t>
        </is>
      </c>
      <c r="G372" t="inlineStr">
        <is>
          <t>NÄSSJÖ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52972-2024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46283</v>
      </c>
      <c r="F373" t="inlineStr">
        <is>
          <t>JÖNKÖPINGS LÄN</t>
        </is>
      </c>
      <c r="G373" t="inlineStr">
        <is>
          <t>NÄSSJÖ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45103</v>
      </c>
      <c r="E374" s="1" t="n">
        <v>46283</v>
      </c>
      <c r="F374" t="inlineStr">
        <is>
          <t>JÖNKÖPINGS LÄN</t>
        </is>
      </c>
      <c r="G374" t="inlineStr">
        <is>
          <t>NÄSSJÖ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46243</v>
      </c>
      <c r="E375" s="1" t="n">
        <v>46283</v>
      </c>
      <c r="F375" t="inlineStr">
        <is>
          <t>JÖNKÖPINGS LÄN</t>
        </is>
      </c>
      <c r="G375" t="inlineStr">
        <is>
          <t>NÄSSJÖ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46243</v>
      </c>
      <c r="E376" s="1" t="n">
        <v>46283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46283</v>
      </c>
      <c r="F377" t="inlineStr">
        <is>
          <t>JÖNKÖPINGS LÄN</t>
        </is>
      </c>
      <c r="G377" t="inlineStr">
        <is>
          <t>NÄSSJÖ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46283</v>
      </c>
      <c r="F378" t="inlineStr">
        <is>
          <t>JÖNKÖPINGS LÄN</t>
        </is>
      </c>
      <c r="G378" t="inlineStr">
        <is>
          <t>NÄSSJÖ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HYPERLINK("https://klasma.github.io/Logging_0682/knärot/A 56586-2025 karta knärot.png", "A 56586-2025")</f>
        <v/>
      </c>
      <c r="AA378">
        <f>HYPERLINK("https://klasma.github.io/Logging_0682/klagomål/A 56586-2025 FSC-klagomål.docx", "A 56586-2025")</f>
        <v/>
      </c>
      <c r="AB378">
        <f>HYPERLINK("https://klasma.github.io/Logging_0682/klagomålsmail/A 56586-2025 FSC-klagomål mail.docx", "A 56586-2025")</f>
        <v/>
      </c>
      <c r="AC378">
        <f>HYPERLINK("https://klasma.github.io/Logging_0682/tillsyn/A 56586-2025 tillsynsbegäran.docx", "A 56586-2025")</f>
        <v/>
      </c>
      <c r="AD378">
        <f>HYPERLINK("https://klasma.github.io/Logging_0682/tillsynsmail/A 56586-2025 tillsynsbegäran mail.docx", "A 56586-2025")</f>
        <v/>
      </c>
    </row>
    <row r="379" ht="15" customHeight="1">
      <c r="A379" t="inlineStr">
        <is>
          <t>A 28841-2026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46283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46283</v>
      </c>
      <c r="F380" t="inlineStr">
        <is>
          <t>JÖNKÖPINGS LÄN</t>
        </is>
      </c>
      <c r="G380" t="inlineStr">
        <is>
          <t>NÄSSJÖ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46202</v>
      </c>
      <c r="E381" s="1" t="n">
        <v>46283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46283</v>
      </c>
      <c r="F382" t="inlineStr">
        <is>
          <t>JÖNKÖPINGS LÄN</t>
        </is>
      </c>
      <c r="G382" t="inlineStr">
        <is>
          <t>NÄSSJÖ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46283</v>
      </c>
      <c r="F383" t="inlineStr">
        <is>
          <t>JÖNKÖPINGS LÄN</t>
        </is>
      </c>
      <c r="G383" t="inlineStr">
        <is>
          <t>NÄSSJÖ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46246</v>
      </c>
      <c r="E384" s="1" t="n">
        <v>46283</v>
      </c>
      <c r="F384" t="inlineStr">
        <is>
          <t>JÖNKÖPINGS LÄN</t>
        </is>
      </c>
      <c r="G384" t="inlineStr">
        <is>
          <t>NÄSSJÖ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45685</v>
      </c>
      <c r="E385" s="1" t="n">
        <v>46283</v>
      </c>
      <c r="F385" t="inlineStr">
        <is>
          <t>JÖNKÖPINGS LÄN</t>
        </is>
      </c>
      <c r="G385" t="inlineStr">
        <is>
          <t>NÄSSJÖ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45083</v>
      </c>
      <c r="E386" s="1" t="n">
        <v>46283</v>
      </c>
      <c r="F386" t="inlineStr">
        <is>
          <t>JÖNKÖPINGS LÄN</t>
        </is>
      </c>
      <c r="G386" t="inlineStr">
        <is>
          <t>NÄSSJÖ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46283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46283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45720</v>
      </c>
      <c r="E389" s="1" t="n">
        <v>46283</v>
      </c>
      <c r="F389" t="inlineStr">
        <is>
          <t>JÖNKÖPINGS LÄN</t>
        </is>
      </c>
      <c r="G389" t="inlineStr">
        <is>
          <t>NÄSSJÖ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31679-2022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44776</v>
      </c>
      <c r="E390" s="1" t="n">
        <v>46283</v>
      </c>
      <c r="F390" t="inlineStr">
        <is>
          <t>JÖNKÖPINGS LÄN</t>
        </is>
      </c>
      <c r="G390" t="inlineStr">
        <is>
          <t>NÄSSJÖ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45187</v>
      </c>
      <c r="E391" s="1" t="n">
        <v>46283</v>
      </c>
      <c r="F391" t="inlineStr">
        <is>
          <t>JÖNKÖPINGS LÄN</t>
        </is>
      </c>
      <c r="G391" t="inlineStr">
        <is>
          <t>NÄSSJÖ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44360-2023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45188</v>
      </c>
      <c r="E392" s="1" t="n">
        <v>46283</v>
      </c>
      <c r="F392" t="inlineStr">
        <is>
          <t>JÖNKÖPINGS LÄN</t>
        </is>
      </c>
      <c r="G392" t="inlineStr">
        <is>
          <t>NÄSSJÖ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45188</v>
      </c>
      <c r="E393" s="1" t="n">
        <v>46283</v>
      </c>
      <c r="F393" t="inlineStr">
        <is>
          <t>JÖNKÖPINGS LÄN</t>
        </is>
      </c>
      <c r="G393" t="inlineStr">
        <is>
          <t>NÄSSJÖ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46283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46283</v>
      </c>
      <c r="F395" t="inlineStr">
        <is>
          <t>JÖNKÖPINGS LÄN</t>
        </is>
      </c>
      <c r="G395" t="inlineStr">
        <is>
          <t>NÄSSJÖ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46283</v>
      </c>
      <c r="F396" t="inlineStr">
        <is>
          <t>JÖNKÖPINGS LÄN</t>
        </is>
      </c>
      <c r="G396" t="inlineStr">
        <is>
          <t>NÄSSJÖ</t>
        </is>
      </c>
      <c r="H396" t="inlineStr">
        <is>
          <t>Sveaskog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30382-2026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46209</v>
      </c>
      <c r="E397" s="1" t="n">
        <v>46283</v>
      </c>
      <c r="F397" t="inlineStr">
        <is>
          <t>JÖNKÖPINGS LÄN</t>
        </is>
      </c>
      <c r="G397" t="inlineStr">
        <is>
          <t>NÄSSJÖ</t>
        </is>
      </c>
      <c r="H397" t="inlineStr">
        <is>
          <t>Sveaskog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45460</v>
      </c>
      <c r="E398" s="1" t="n">
        <v>46283</v>
      </c>
      <c r="F398" t="inlineStr">
        <is>
          <t>JÖNKÖPINGS LÄN</t>
        </is>
      </c>
      <c r="G398" t="inlineStr">
        <is>
          <t>NÄSSJÖ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46283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46283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46283</v>
      </c>
      <c r="F401" t="inlineStr">
        <is>
          <t>JÖNKÖPINGS LÄN</t>
        </is>
      </c>
      <c r="G401" t="inlineStr">
        <is>
          <t>NÄSSJÖ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46283</v>
      </c>
      <c r="F402" t="inlineStr">
        <is>
          <t>JÖNKÖPINGS LÄN</t>
        </is>
      </c>
      <c r="G402" t="inlineStr">
        <is>
          <t>NÄSSJÖ</t>
        </is>
      </c>
      <c r="I402" t="n">
        <v>11.3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46283</v>
      </c>
      <c r="F403" t="inlineStr">
        <is>
          <t>JÖNKÖPINGS LÄN</t>
        </is>
      </c>
      <c r="G403" t="inlineStr">
        <is>
          <t>NÄSSJÖ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46283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46283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46283</v>
      </c>
      <c r="F406" t="inlineStr">
        <is>
          <t>JÖNKÖPINGS LÄN</t>
        </is>
      </c>
      <c r="G406" t="inlineStr">
        <is>
          <t>NÄSSJÖ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45734</v>
      </c>
      <c r="E407" s="1" t="n">
        <v>46283</v>
      </c>
      <c r="F407" t="inlineStr">
        <is>
          <t>JÖNKÖPINGS LÄN</t>
        </is>
      </c>
      <c r="G407" t="inlineStr">
        <is>
          <t>NÄSSJÖ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46258</v>
      </c>
      <c r="E408" s="1" t="n">
        <v>46283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45302</v>
      </c>
      <c r="E409" s="1" t="n">
        <v>46283</v>
      </c>
      <c r="F409" t="inlineStr">
        <is>
          <t>JÖNKÖPINGS LÄN</t>
        </is>
      </c>
      <c r="G409" t="inlineStr">
        <is>
          <t>NÄSSJÖ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46254</v>
      </c>
      <c r="E410" s="1" t="n">
        <v>46283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45245</v>
      </c>
      <c r="E411" s="1" t="n">
        <v>46283</v>
      </c>
      <c r="F411" t="inlineStr">
        <is>
          <t>JÖNKÖPINGS LÄN</t>
        </is>
      </c>
      <c r="G411" t="inlineStr">
        <is>
          <t>NÄSSJÖ</t>
        </is>
      </c>
      <c r="H411" t="inlineStr">
        <is>
          <t>Kommuner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46283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46283</v>
      </c>
      <c r="F413" t="inlineStr">
        <is>
          <t>JÖNKÖPINGS LÄN</t>
        </is>
      </c>
      <c r="G413" t="inlineStr">
        <is>
          <t>NÄSSJÖ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30838-2026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46283</v>
      </c>
      <c r="F414" t="inlineStr">
        <is>
          <t>JÖNKÖPINGS LÄN</t>
        </is>
      </c>
      <c r="G414" t="inlineStr">
        <is>
          <t>NÄSSJÖ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34688-2026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46283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60535-2025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45995</v>
      </c>
      <c r="E416" s="1" t="n">
        <v>46283</v>
      </c>
      <c r="F416" t="inlineStr">
        <is>
          <t>JÖNKÖPINGS LÄN</t>
        </is>
      </c>
      <c r="G416" t="inlineStr">
        <is>
          <t>NÄSSJÖ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46283</v>
      </c>
      <c r="F417" t="inlineStr">
        <is>
          <t>JÖNKÖPINGS LÄN</t>
        </is>
      </c>
      <c r="G417" t="inlineStr">
        <is>
          <t>NÄSSJÖ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46283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60534-2025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46283</v>
      </c>
      <c r="F419" t="inlineStr">
        <is>
          <t>JÖNKÖPINGS LÄN</t>
        </is>
      </c>
      <c r="G419" t="inlineStr">
        <is>
          <t>NÄSSJÖ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46283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45316</v>
      </c>
      <c r="E421" s="1" t="n">
        <v>46283</v>
      </c>
      <c r="F421" t="inlineStr">
        <is>
          <t>JÖNKÖPINGS LÄN</t>
        </is>
      </c>
      <c r="G421" t="inlineStr">
        <is>
          <t>NÄSSJÖ</t>
        </is>
      </c>
      <c r="H421" t="inlineStr">
        <is>
          <t>Kyrkan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46283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45361</v>
      </c>
      <c r="E423" s="1" t="n">
        <v>46283</v>
      </c>
      <c r="F423" t="inlineStr">
        <is>
          <t>JÖNKÖPINGS LÄN</t>
        </is>
      </c>
      <c r="G423" t="inlineStr">
        <is>
          <t>NÄSSJÖ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45213</v>
      </c>
      <c r="E424" s="1" t="n">
        <v>46283</v>
      </c>
      <c r="F424" t="inlineStr">
        <is>
          <t>JÖNKÖPINGS LÄN</t>
        </is>
      </c>
      <c r="G424" t="inlineStr">
        <is>
          <t>NÄSSJÖ</t>
        </is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46283</v>
      </c>
      <c r="F425" t="inlineStr">
        <is>
          <t>JÖNKÖPINGS LÄN</t>
        </is>
      </c>
      <c r="G425" t="inlineStr">
        <is>
          <t>NÄSSJÖ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46283</v>
      </c>
      <c r="F426" t="inlineStr">
        <is>
          <t>JÖNKÖPINGS LÄN</t>
        </is>
      </c>
      <c r="G426" t="inlineStr">
        <is>
          <t>NÄSSJÖ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46283</v>
      </c>
      <c r="F427" t="inlineStr">
        <is>
          <t>JÖNKÖPINGS LÄN</t>
        </is>
      </c>
      <c r="G427" t="inlineStr">
        <is>
          <t>NÄSSJÖ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46283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46283</v>
      </c>
      <c r="F429" t="inlineStr">
        <is>
          <t>JÖNKÖPINGS LÄN</t>
        </is>
      </c>
      <c r="G429" t="inlineStr">
        <is>
          <t>NÄSSJÖ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44956</v>
      </c>
      <c r="E430" s="1" t="n">
        <v>46283</v>
      </c>
      <c r="F430" t="inlineStr">
        <is>
          <t>JÖNKÖPINGS LÄN</t>
        </is>
      </c>
      <c r="G430" t="inlineStr">
        <is>
          <t>NÄSSJÖ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52605-2022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44874</v>
      </c>
      <c r="E431" s="1" t="n">
        <v>46283</v>
      </c>
      <c r="F431" t="inlineStr">
        <is>
          <t>JÖNKÖPINGS LÄN</t>
        </is>
      </c>
      <c r="G431" t="inlineStr">
        <is>
          <t>NÄSSJÖ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46283</v>
      </c>
      <c r="F432" t="inlineStr">
        <is>
          <t>JÖNKÖPINGS LÄN</t>
        </is>
      </c>
      <c r="G432" t="inlineStr">
        <is>
          <t>NÄSSJÖ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45259</v>
      </c>
      <c r="E433" s="1" t="n">
        <v>46283</v>
      </c>
      <c r="F433" t="inlineStr">
        <is>
          <t>JÖNKÖPINGS LÄN</t>
        </is>
      </c>
      <c r="G433" t="inlineStr">
        <is>
          <t>NÄSSJÖ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45009</v>
      </c>
      <c r="E434" s="1" t="n">
        <v>46283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46283</v>
      </c>
      <c r="F435" t="inlineStr">
        <is>
          <t>JÖNKÖPINGS LÄN</t>
        </is>
      </c>
      <c r="G435" t="inlineStr">
        <is>
          <t>NÄSSJÖ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46283</v>
      </c>
      <c r="F436" t="inlineStr">
        <is>
          <t>JÖNKÖPINGS LÄN</t>
        </is>
      </c>
      <c r="G436" t="inlineStr">
        <is>
          <t>NÄSSJÖ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28568-2026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46283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46283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46283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45488</v>
      </c>
      <c r="E440" s="1" t="n">
        <v>46283</v>
      </c>
      <c r="F440" t="inlineStr">
        <is>
          <t>JÖNKÖPINGS LÄN</t>
        </is>
      </c>
      <c r="G440" t="inlineStr">
        <is>
          <t>NÄSSJÖ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59348-2022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44904</v>
      </c>
      <c r="E441" s="1" t="n">
        <v>46283</v>
      </c>
      <c r="F441" t="inlineStr">
        <is>
          <t>JÖNKÖPINGS LÄN</t>
        </is>
      </c>
      <c r="G441" t="inlineStr">
        <is>
          <t>NÄSSJÖ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45279</v>
      </c>
      <c r="E442" s="1" t="n">
        <v>46283</v>
      </c>
      <c r="F442" t="inlineStr">
        <is>
          <t>JÖNKÖPINGS LÄN</t>
        </is>
      </c>
      <c r="G442" t="inlineStr">
        <is>
          <t>NÄSSJÖ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46283</v>
      </c>
      <c r="F443" t="inlineStr">
        <is>
          <t>JÖNKÖPINGS LÄN</t>
        </is>
      </c>
      <c r="G443" t="inlineStr">
        <is>
          <t>NÄSSJÖ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9796-2023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44984</v>
      </c>
      <c r="E444" s="1" t="n">
        <v>46283</v>
      </c>
      <c r="F444" t="inlineStr">
        <is>
          <t>JÖNKÖPINGS LÄN</t>
        </is>
      </c>
      <c r="G444" t="inlineStr">
        <is>
          <t>NÄSSJÖ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46283</v>
      </c>
      <c r="F445" t="inlineStr">
        <is>
          <t>JÖNKÖPINGS LÄN</t>
        </is>
      </c>
      <c r="G445" t="inlineStr">
        <is>
          <t>NÄSSJÖ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45693</v>
      </c>
      <c r="E446" s="1" t="n">
        <v>46283</v>
      </c>
      <c r="F446" t="inlineStr">
        <is>
          <t>JÖNKÖPINGS LÄN</t>
        </is>
      </c>
      <c r="G446" t="inlineStr">
        <is>
          <t>NÄSSJÖ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50718-2021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44460</v>
      </c>
      <c r="E447" s="1" t="n">
        <v>46283</v>
      </c>
      <c r="F447" t="inlineStr">
        <is>
          <t>JÖNKÖPINGS LÄN</t>
        </is>
      </c>
      <c r="G447" t="inlineStr">
        <is>
          <t>NÄSSJÖ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46021</v>
      </c>
      <c r="E448" s="1" t="n">
        <v>46283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53960-2022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44881</v>
      </c>
      <c r="E449" s="1" t="n">
        <v>46283</v>
      </c>
      <c r="F449" t="inlineStr">
        <is>
          <t>JÖNKÖPINGS LÄN</t>
        </is>
      </c>
      <c r="G449" t="inlineStr">
        <is>
          <t>NÄSSJÖ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45754</v>
      </c>
      <c r="E450" s="1" t="n">
        <v>46283</v>
      </c>
      <c r="F450" t="inlineStr">
        <is>
          <t>JÖNKÖPINGS LÄN</t>
        </is>
      </c>
      <c r="G450" t="inlineStr">
        <is>
          <t>NÄSSJÖ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46283</v>
      </c>
      <c r="F451" t="inlineStr">
        <is>
          <t>JÖNKÖPINGS LÄN</t>
        </is>
      </c>
      <c r="G451" t="inlineStr">
        <is>
          <t>NÄSSJÖ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46283</v>
      </c>
      <c r="F452" t="inlineStr">
        <is>
          <t>JÖNKÖPINGS LÄN</t>
        </is>
      </c>
      <c r="G452" t="inlineStr">
        <is>
          <t>NÄSSJÖ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44902</v>
      </c>
      <c r="E453" s="1" t="n">
        <v>46283</v>
      </c>
      <c r="F453" t="inlineStr">
        <is>
          <t>JÖNKÖPINGS LÄN</t>
        </is>
      </c>
      <c r="G453" t="inlineStr">
        <is>
          <t>NÄSSJÖ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44603</v>
      </c>
      <c r="E454" s="1" t="n">
        <v>46283</v>
      </c>
      <c r="F454" t="inlineStr">
        <is>
          <t>JÖNKÖPINGS LÄN</t>
        </is>
      </c>
      <c r="G454" t="inlineStr">
        <is>
          <t>NÄSSJÖ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46283</v>
      </c>
      <c r="F455" t="inlineStr">
        <is>
          <t>JÖNKÖPINGS LÄN</t>
        </is>
      </c>
      <c r="G455" t="inlineStr">
        <is>
          <t>NÄSSJÖ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71606-2021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44541</v>
      </c>
      <c r="E456" s="1" t="n">
        <v>46283</v>
      </c>
      <c r="F456" t="inlineStr">
        <is>
          <t>JÖNKÖPINGS LÄN</t>
        </is>
      </c>
      <c r="G456" t="inlineStr">
        <is>
          <t>NÄSSJÖ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46283</v>
      </c>
      <c r="F457" t="inlineStr">
        <is>
          <t>JÖNKÖPINGS LÄN</t>
        </is>
      </c>
      <c r="G457" t="inlineStr">
        <is>
          <t>NÄSSJÖ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45402</v>
      </c>
      <c r="E458" s="1" t="n">
        <v>46283</v>
      </c>
      <c r="F458" t="inlineStr">
        <is>
          <t>JÖNKÖPINGS LÄN</t>
        </is>
      </c>
      <c r="G458" t="inlineStr">
        <is>
          <t>NÄSSJÖ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45184</v>
      </c>
      <c r="E459" s="1" t="n">
        <v>46283</v>
      </c>
      <c r="F459" t="inlineStr">
        <is>
          <t>JÖNKÖPINGS LÄN</t>
        </is>
      </c>
      <c r="G459" t="inlineStr">
        <is>
          <t>NÄSSJÖ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45091</v>
      </c>
      <c r="E460" s="1" t="n">
        <v>46283</v>
      </c>
      <c r="F460" t="inlineStr">
        <is>
          <t>JÖNKÖPINGS LÄN</t>
        </is>
      </c>
      <c r="G460" t="inlineStr">
        <is>
          <t>NÄSSJÖ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38615-2023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46283</v>
      </c>
      <c r="F461" t="inlineStr">
        <is>
          <t>JÖNKÖPINGS LÄN</t>
        </is>
      </c>
      <c r="G461" t="inlineStr">
        <is>
          <t>NÄSSJÖ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45412</v>
      </c>
      <c r="E462" s="1" t="n">
        <v>46283</v>
      </c>
      <c r="F462" t="inlineStr">
        <is>
          <t>JÖNKÖPINGS LÄN</t>
        </is>
      </c>
      <c r="G462" t="inlineStr">
        <is>
          <t>NÄSSJÖ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46283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45343</v>
      </c>
      <c r="E464" s="1" t="n">
        <v>46283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46283</v>
      </c>
      <c r="F465" t="inlineStr">
        <is>
          <t>JÖNKÖPINGS LÄN</t>
        </is>
      </c>
      <c r="G465" t="inlineStr">
        <is>
          <t>NÄSSJÖ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45270</v>
      </c>
      <c r="E466" s="1" t="n">
        <v>46283</v>
      </c>
      <c r="F466" t="inlineStr">
        <is>
          <t>JÖNKÖPINGS LÄN</t>
        </is>
      </c>
      <c r="G466" t="inlineStr">
        <is>
          <t>NÄSSJÖ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49440-2024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45595</v>
      </c>
      <c r="E467" s="1" t="n">
        <v>46283</v>
      </c>
      <c r="F467" t="inlineStr">
        <is>
          <t>JÖNKÖPINGS LÄN</t>
        </is>
      </c>
      <c r="G467" t="inlineStr">
        <is>
          <t>NÄSSJÖ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51374-2024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45604</v>
      </c>
      <c r="E468" s="1" t="n">
        <v>46283</v>
      </c>
      <c r="F468" t="inlineStr">
        <is>
          <t>JÖNKÖPINGS LÄN</t>
        </is>
      </c>
      <c r="G468" t="inlineStr">
        <is>
          <t>NÄSSJÖ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44916</v>
      </c>
      <c r="E469" s="1" t="n">
        <v>46283</v>
      </c>
      <c r="F469" t="inlineStr">
        <is>
          <t>JÖNKÖPINGS LÄN</t>
        </is>
      </c>
      <c r="G469" t="inlineStr">
        <is>
          <t>NÄSSJÖ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44873</v>
      </c>
      <c r="E470" s="1" t="n">
        <v>46283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46283</v>
      </c>
      <c r="F471" t="inlineStr">
        <is>
          <t>JÖNKÖPINGS LÄN</t>
        </is>
      </c>
      <c r="G471" t="inlineStr">
        <is>
          <t>NÄSSJÖ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46283</v>
      </c>
      <c r="F472" t="inlineStr">
        <is>
          <t>JÖNKÖPINGS LÄN</t>
        </is>
      </c>
      <c r="G472" t="inlineStr">
        <is>
          <t>NÄSSJÖ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46283</v>
      </c>
      <c r="F473" t="inlineStr">
        <is>
          <t>JÖNKÖPINGS LÄN</t>
        </is>
      </c>
      <c r="G473" t="inlineStr">
        <is>
          <t>NÄSSJÖ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46283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46283</v>
      </c>
      <c r="F475" t="inlineStr">
        <is>
          <t>JÖNKÖPINGS LÄN</t>
        </is>
      </c>
      <c r="G475" t="inlineStr">
        <is>
          <t>NÄSSJÖ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63742-2023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45277</v>
      </c>
      <c r="E476" s="1" t="n">
        <v>46283</v>
      </c>
      <c r="F476" t="inlineStr">
        <is>
          <t>JÖNKÖPINGS LÄN</t>
        </is>
      </c>
      <c r="G476" t="inlineStr">
        <is>
          <t>NÄSSJÖ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46283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8339-2023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44976</v>
      </c>
      <c r="E478" s="1" t="n">
        <v>46283</v>
      </c>
      <c r="F478" t="inlineStr">
        <is>
          <t>JÖNKÖPINGS LÄN</t>
        </is>
      </c>
      <c r="G478" t="inlineStr">
        <is>
          <t>NÄSSJÖ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46283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46283</v>
      </c>
      <c r="F480" t="inlineStr">
        <is>
          <t>JÖNKÖPINGS LÄN</t>
        </is>
      </c>
      <c r="G480" t="inlineStr">
        <is>
          <t>NÄSSJÖ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46051</v>
      </c>
      <c r="E481" s="1" t="n">
        <v>46283</v>
      </c>
      <c r="F481" t="inlineStr">
        <is>
          <t>JÖNKÖPINGS LÄN</t>
        </is>
      </c>
      <c r="G481" t="inlineStr">
        <is>
          <t>NÄSSJÖ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57627-2021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46283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46283</v>
      </c>
      <c r="F483" t="inlineStr">
        <is>
          <t>JÖNKÖPINGS LÄN</t>
        </is>
      </c>
      <c r="G483" t="inlineStr">
        <is>
          <t>NÄSSJÖ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46283</v>
      </c>
      <c r="F484" t="inlineStr">
        <is>
          <t>JÖNKÖPINGS LÄN</t>
        </is>
      </c>
      <c r="G484" t="inlineStr">
        <is>
          <t>NÄSSJÖ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46283</v>
      </c>
      <c r="F485" t="inlineStr">
        <is>
          <t>JÖNKÖPINGS LÄN</t>
        </is>
      </c>
      <c r="G485" t="inlineStr">
        <is>
          <t>NÄSSJÖ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46283</v>
      </c>
      <c r="F486" t="inlineStr">
        <is>
          <t>JÖNKÖPINGS LÄN</t>
        </is>
      </c>
      <c r="G486" t="inlineStr">
        <is>
          <t>NÄSSJÖ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46283</v>
      </c>
      <c r="F487" t="inlineStr">
        <is>
          <t>JÖNKÖPINGS LÄN</t>
        </is>
      </c>
      <c r="G487" t="inlineStr">
        <is>
          <t>NÄSSJÖ</t>
        </is>
      </c>
      <c r="H487" t="inlineStr">
        <is>
          <t>Övriga Aktiebolag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45154</v>
      </c>
      <c r="E488" s="1" t="n">
        <v>46283</v>
      </c>
      <c r="F488" t="inlineStr">
        <is>
          <t>JÖNKÖPINGS LÄN</t>
        </is>
      </c>
      <c r="G488" t="inlineStr">
        <is>
          <t>NÄSSJÖ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46283</v>
      </c>
      <c r="F489" t="inlineStr">
        <is>
          <t>JÖNKÖPINGS LÄN</t>
        </is>
      </c>
      <c r="G489" t="inlineStr">
        <is>
          <t>NÄSSJÖ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45188</v>
      </c>
      <c r="E490" s="1" t="n">
        <v>46283</v>
      </c>
      <c r="F490" t="inlineStr">
        <is>
          <t>JÖNKÖPINGS LÄN</t>
        </is>
      </c>
      <c r="G490" t="inlineStr">
        <is>
          <t>NÄSSJÖ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45302</v>
      </c>
      <c r="E491" s="1" t="n">
        <v>46283</v>
      </c>
      <c r="F491" t="inlineStr">
        <is>
          <t>JÖNKÖPINGS LÄN</t>
        </is>
      </c>
      <c r="G491" t="inlineStr">
        <is>
          <t>NÄSSJÖ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46283</v>
      </c>
      <c r="F492" t="inlineStr">
        <is>
          <t>JÖNKÖPINGS LÄN</t>
        </is>
      </c>
      <c r="G492" t="inlineStr">
        <is>
          <t>NÄSSJÖ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46283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46061</v>
      </c>
      <c r="E494" s="1" t="n">
        <v>46283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11355-2024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46283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46283</v>
      </c>
      <c r="F496" t="inlineStr">
        <is>
          <t>JÖNKÖPINGS LÄN</t>
        </is>
      </c>
      <c r="G496" t="inlineStr">
        <is>
          <t>NÄSSJÖ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46283</v>
      </c>
      <c r="F497" t="inlineStr">
        <is>
          <t>JÖNKÖPINGS LÄN</t>
        </is>
      </c>
      <c r="G497" t="inlineStr">
        <is>
          <t>NÄSSJÖ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44902</v>
      </c>
      <c r="E498" s="1" t="n">
        <v>46283</v>
      </c>
      <c r="F498" t="inlineStr">
        <is>
          <t>JÖNKÖPINGS LÄN</t>
        </is>
      </c>
      <c r="G498" t="inlineStr">
        <is>
          <t>NÄSSJÖ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45412</v>
      </c>
      <c r="E499" s="1" t="n">
        <v>46283</v>
      </c>
      <c r="F499" t="inlineStr">
        <is>
          <t>JÖNKÖPINGS LÄN</t>
        </is>
      </c>
      <c r="G499" t="inlineStr">
        <is>
          <t>NÄSSJÖ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46283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46283</v>
      </c>
      <c r="F501" t="inlineStr">
        <is>
          <t>JÖNKÖPINGS LÄN</t>
        </is>
      </c>
      <c r="G501" t="inlineStr">
        <is>
          <t>NÄSSJÖ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45454</v>
      </c>
      <c r="E502" s="1" t="n">
        <v>46283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46283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45303</v>
      </c>
      <c r="E504" s="1" t="n">
        <v>46283</v>
      </c>
      <c r="F504" t="inlineStr">
        <is>
          <t>JÖNKÖPINGS LÄN</t>
        </is>
      </c>
      <c r="G504" t="inlineStr">
        <is>
          <t>NÄSSJÖ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46283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46283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28340-2023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45099</v>
      </c>
      <c r="E507" s="1" t="n">
        <v>46283</v>
      </c>
      <c r="F507" t="inlineStr">
        <is>
          <t>JÖNKÖPINGS LÄN</t>
        </is>
      </c>
      <c r="G507" t="inlineStr">
        <is>
          <t>NÄSSJÖ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52241-2022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44873</v>
      </c>
      <c r="E508" s="1" t="n">
        <v>46283</v>
      </c>
      <c r="F508" t="inlineStr">
        <is>
          <t>JÖNKÖPINGS LÄN</t>
        </is>
      </c>
      <c r="G508" t="inlineStr">
        <is>
          <t>NÄSSJÖ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53636-2024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45614</v>
      </c>
      <c r="E509" s="1" t="n">
        <v>46283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50734-2024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46283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45680</v>
      </c>
      <c r="E511" s="1" t="n">
        <v>46283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45617</v>
      </c>
      <c r="E512" s="1" t="n">
        <v>46283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46283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46283</v>
      </c>
      <c r="F514" t="inlineStr">
        <is>
          <t>JÖNKÖPINGS LÄN</t>
        </is>
      </c>
      <c r="G514" t="inlineStr">
        <is>
          <t>NÄSSJÖ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46283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45046</v>
      </c>
      <c r="E516" s="1" t="n">
        <v>46283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46283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45181</v>
      </c>
      <c r="E518" s="1" t="n">
        <v>46283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52236-2021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44463</v>
      </c>
      <c r="E519" s="1" t="n">
        <v>46283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46283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46283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46283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45257</v>
      </c>
      <c r="E523" s="1" t="n">
        <v>46283</v>
      </c>
      <c r="F523" t="inlineStr">
        <is>
          <t>JÖNKÖPINGS LÄN</t>
        </is>
      </c>
      <c r="G523" t="inlineStr">
        <is>
          <t>NÄSSJÖ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46283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22783-2024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45448</v>
      </c>
      <c r="E525" s="1" t="n">
        <v>46283</v>
      </c>
      <c r="F525" t="inlineStr">
        <is>
          <t>JÖNKÖPINGS LÄN</t>
        </is>
      </c>
      <c r="G525" t="inlineStr">
        <is>
          <t>NÄSSJÖ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45756</v>
      </c>
      <c r="E526" s="1" t="n">
        <v>46283</v>
      </c>
      <c r="F526" t="inlineStr">
        <is>
          <t>JÖNKÖPINGS LÄN</t>
        </is>
      </c>
      <c r="G526" t="inlineStr">
        <is>
          <t>NÄSSJÖ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45365</v>
      </c>
      <c r="E527" s="1" t="n">
        <v>46283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46283</v>
      </c>
      <c r="F528" t="inlineStr">
        <is>
          <t>JÖNKÖPINGS LÄN</t>
        </is>
      </c>
      <c r="G528" t="inlineStr">
        <is>
          <t>NÄSSJÖ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56411-2024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45625</v>
      </c>
      <c r="E529" s="1" t="n">
        <v>46283</v>
      </c>
      <c r="F529" t="inlineStr">
        <is>
          <t>JÖNKÖPINGS LÄN</t>
        </is>
      </c>
      <c r="G529" t="inlineStr">
        <is>
          <t>NÄSSJÖ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46283</v>
      </c>
      <c r="F530" t="inlineStr">
        <is>
          <t>JÖNKÖPINGS LÄN</t>
        </is>
      </c>
      <c r="G530" t="inlineStr">
        <is>
          <t>NÄSSJÖ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46283</v>
      </c>
      <c r="F531" t="inlineStr">
        <is>
          <t>JÖNKÖPINGS LÄN</t>
        </is>
      </c>
      <c r="G531" t="inlineStr">
        <is>
          <t>NÄSSJÖ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46283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55592-2023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46283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46283</v>
      </c>
      <c r="F534" t="inlineStr">
        <is>
          <t>JÖNKÖPINGS LÄN</t>
        </is>
      </c>
      <c r="G534" t="inlineStr">
        <is>
          <t>NÄSSJÖ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46283</v>
      </c>
      <c r="F535" t="inlineStr">
        <is>
          <t>JÖNKÖPINGS LÄN</t>
        </is>
      </c>
      <c r="G535" t="inlineStr">
        <is>
          <t>NÄSSJÖ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46283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46283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53914-2024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46283</v>
      </c>
      <c r="F538" t="inlineStr">
        <is>
          <t>JÖNKÖPINGS LÄN</t>
        </is>
      </c>
      <c r="G538" t="inlineStr">
        <is>
          <t>NÄSSJÖ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45599</v>
      </c>
      <c r="E539" s="1" t="n">
        <v>46283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7175-2022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44605</v>
      </c>
      <c r="E540" s="1" t="n">
        <v>46283</v>
      </c>
      <c r="F540" t="inlineStr">
        <is>
          <t>JÖNKÖPINGS LÄN</t>
        </is>
      </c>
      <c r="G540" t="inlineStr">
        <is>
          <t>NÄSSJÖ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45320</v>
      </c>
      <c r="E541" s="1" t="n">
        <v>46283</v>
      </c>
      <c r="F541" t="inlineStr">
        <is>
          <t>JÖNKÖPINGS LÄN</t>
        </is>
      </c>
      <c r="G541" t="inlineStr">
        <is>
          <t>NÄSSJÖ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46283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46283</v>
      </c>
      <c r="F543" t="inlineStr">
        <is>
          <t>JÖNKÖPINGS LÄN</t>
        </is>
      </c>
      <c r="G543" t="inlineStr">
        <is>
          <t>NÄSSJÖ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46283</v>
      </c>
      <c r="F544" t="inlineStr">
        <is>
          <t>JÖNKÖPINGS LÄN</t>
        </is>
      </c>
      <c r="G544" t="inlineStr">
        <is>
          <t>NÄSSJÖ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46283</v>
      </c>
      <c r="F545" t="inlineStr">
        <is>
          <t>JÖNKÖPINGS LÄN</t>
        </is>
      </c>
      <c r="G545" t="inlineStr">
        <is>
          <t>NÄSSJÖ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46283</v>
      </c>
      <c r="F546" t="inlineStr">
        <is>
          <t>JÖNKÖPINGS LÄN</t>
        </is>
      </c>
      <c r="G546" t="inlineStr">
        <is>
          <t>NÄSSJÖ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45795</v>
      </c>
      <c r="E547" s="1" t="n">
        <v>46283</v>
      </c>
      <c r="F547" t="inlineStr">
        <is>
          <t>JÖNKÖPINGS LÄN</t>
        </is>
      </c>
      <c r="G547" t="inlineStr">
        <is>
          <t>NÄSSJÖ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46283</v>
      </c>
      <c r="F548" t="inlineStr">
        <is>
          <t>JÖNKÖPINGS LÄN</t>
        </is>
      </c>
      <c r="G548" t="inlineStr">
        <is>
          <t>NÄSSJÖ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60724-2023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45260</v>
      </c>
      <c r="E549" s="1" t="n">
        <v>46283</v>
      </c>
      <c r="F549" t="inlineStr">
        <is>
          <t>JÖNKÖPINGS LÄN</t>
        </is>
      </c>
      <c r="G549" t="inlineStr">
        <is>
          <t>NÄSSJÖ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46283</v>
      </c>
      <c r="F550" t="inlineStr">
        <is>
          <t>JÖNKÖPINGS LÄN</t>
        </is>
      </c>
      <c r="G550" t="inlineStr">
        <is>
          <t>NÄSSJÖ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45742</v>
      </c>
      <c r="E551" s="1" t="n">
        <v>46283</v>
      </c>
      <c r="F551" t="inlineStr">
        <is>
          <t>JÖNKÖPINGS LÄN</t>
        </is>
      </c>
      <c r="G551" t="inlineStr">
        <is>
          <t>NÄSSJÖ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46283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46283</v>
      </c>
      <c r="F553" t="inlineStr">
        <is>
          <t>JÖNKÖPINGS LÄN</t>
        </is>
      </c>
      <c r="G553" t="inlineStr">
        <is>
          <t>NÄSSJÖ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46283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45729</v>
      </c>
      <c r="E555" s="1" t="n">
        <v>46283</v>
      </c>
      <c r="F555" t="inlineStr">
        <is>
          <t>JÖNKÖPINGS LÄN</t>
        </is>
      </c>
      <c r="G555" t="inlineStr">
        <is>
          <t>NÄSSJÖ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45267</v>
      </c>
      <c r="E556" s="1" t="n">
        <v>46283</v>
      </c>
      <c r="F556" t="inlineStr">
        <is>
          <t>JÖNKÖPINGS LÄN</t>
        </is>
      </c>
      <c r="G556" t="inlineStr">
        <is>
          <t>NÄSSJÖ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46283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46283</v>
      </c>
      <c r="F558" t="inlineStr">
        <is>
          <t>JÖNKÖPINGS LÄN</t>
        </is>
      </c>
      <c r="G558" t="inlineStr">
        <is>
          <t>NÄSSJÖ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46283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2371-2023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45109</v>
      </c>
      <c r="E560" s="1" t="n">
        <v>46283</v>
      </c>
      <c r="F560" t="inlineStr">
        <is>
          <t>JÖNKÖPINGS LÄN</t>
        </is>
      </c>
      <c r="G560" t="inlineStr">
        <is>
          <t>NÄSSJÖ</t>
        </is>
      </c>
      <c r="I560" t="n">
        <v>18.3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1040-2022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44613</v>
      </c>
      <c r="E561" s="1" t="n">
        <v>46283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44575</v>
      </c>
      <c r="E562" s="1" t="n">
        <v>46283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46283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46283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46283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46283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46283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46283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46283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46283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46283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46283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46283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46283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45419</v>
      </c>
      <c r="E575" s="1" t="n">
        <v>46283</v>
      </c>
      <c r="F575" t="inlineStr">
        <is>
          <t>JÖNKÖPINGS LÄN</t>
        </is>
      </c>
      <c r="G575" t="inlineStr">
        <is>
          <t>NÄSSJÖ</t>
        </is>
      </c>
      <c r="I575" t="n">
        <v>21.6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1666-2023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45062</v>
      </c>
      <c r="E576" s="1" t="n">
        <v>46283</v>
      </c>
      <c r="F576" t="inlineStr">
        <is>
          <t>JÖNKÖPINGS LÄN</t>
        </is>
      </c>
      <c r="G576" t="inlineStr">
        <is>
          <t>NÄSSJÖ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46283</v>
      </c>
      <c r="F577" t="inlineStr">
        <is>
          <t>JÖNKÖPINGS LÄN</t>
        </is>
      </c>
      <c r="G577" t="inlineStr">
        <is>
          <t>NÄSSJÖ</t>
        </is>
      </c>
      <c r="H577" t="inlineStr">
        <is>
          <t>Kommuner</t>
        </is>
      </c>
      <c r="I577" t="n">
        <v>65.2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1731-2025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45809</v>
      </c>
      <c r="E578" s="1" t="n">
        <v>46283</v>
      </c>
      <c r="F578" t="inlineStr">
        <is>
          <t>JÖNKÖPINGS LÄN</t>
        </is>
      </c>
      <c r="G578" t="inlineStr">
        <is>
          <t>NÄSSJÖ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1699-2025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45804</v>
      </c>
      <c r="E579" s="1" t="n">
        <v>46283</v>
      </c>
      <c r="F579" t="inlineStr">
        <is>
          <t>JÖNKÖPINGS LÄN</t>
        </is>
      </c>
      <c r="G579" t="inlineStr">
        <is>
          <t>NÄSSJÖ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2024-2025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45835</v>
      </c>
      <c r="E580" s="1" t="n">
        <v>46283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688-2026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46283</v>
      </c>
      <c r="F581" t="inlineStr">
        <is>
          <t>JÖNKÖPINGS LÄN</t>
        </is>
      </c>
      <c r="G581" t="inlineStr">
        <is>
          <t>NÄSSJÖ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46283</v>
      </c>
      <c r="F582" t="inlineStr">
        <is>
          <t>JÖNKÖPINGS LÄN</t>
        </is>
      </c>
      <c r="G582" t="inlineStr">
        <is>
          <t>NÄSSJÖ</t>
        </is>
      </c>
      <c r="I582" t="n">
        <v>33.2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1942-2026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46209</v>
      </c>
      <c r="E583" s="1" t="n">
        <v>46283</v>
      </c>
      <c r="F583" t="inlineStr">
        <is>
          <t>JÖNKÖPINGS LÄN</t>
        </is>
      </c>
      <c r="G583" t="inlineStr">
        <is>
          <t>NÄSSJÖ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1332-2026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46150</v>
      </c>
      <c r="E584" s="1" t="n">
        <v>46283</v>
      </c>
      <c r="F584" t="inlineStr">
        <is>
          <t>JÖNKÖPINGS LÄN</t>
        </is>
      </c>
      <c r="G584" t="inlineStr">
        <is>
          <t>NÄSSJÖ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2026-09-18T02:03:48Z</dcterms:created>
  <dcterms:modified xmlns:dcterms="http://purl.org/dc/terms/" xmlns:xsi="http://www.w3.org/2001/XMLSchema-instance" xsi:type="dcterms:W3CDTF">2026-09-18T02:03:49Z</dcterms:modified>
</cp:coreProperties>
</file>