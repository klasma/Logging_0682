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46220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s="2" t="inlineStr">
        <is>
          <t>Vridfingersvamp
Papegojvaxing
Småvaxing
Toppvaxing</t>
        </is>
      </c>
      <c r="V7">
        <f>HYPERLINK("https://klasma.github.io/Logging_0682/artfynd/A 24531-2024 artfynd.xlsx", "A 24531-2024")</f>
        <v/>
      </c>
      <c r="W7">
        <f>HYPERLINK("https://klasma.github.io/Logging_0682/kartor/A 24531-2024 karta.png", "A 24531-2024")</f>
        <v/>
      </c>
      <c r="Y7">
        <f>HYPERLINK("https://klasma.github.io/Logging_0682/klagomål/A 24531-2024 FSC-klagomål.docx", "A 24531-2024")</f>
        <v/>
      </c>
      <c r="Z7">
        <f>HYPERLINK("https://klasma.github.io/Logging_0682/klagomålsmail/A 24531-2024 FSC-klagomål mail.docx", "A 24531-2024")</f>
        <v/>
      </c>
      <c r="AA7">
        <f>HYPERLINK("https://klasma.github.io/Logging_0682/tillsyn/A 24531-2024 tillsynsbegäran.docx", "A 24531-2024")</f>
        <v/>
      </c>
      <c r="AB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46220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s="2" t="inlineStr">
        <is>
          <t>Slåttergubbe
Jungfrulin
Slåtterfibbla
Vårstarr</t>
        </is>
      </c>
      <c r="V8">
        <f>HYPERLINK("https://klasma.github.io/Logging_0682/artfynd/A 32981-2024 artfynd.xlsx", "A 32981-2024")</f>
        <v/>
      </c>
      <c r="W8">
        <f>HYPERLINK("https://klasma.github.io/Logging_0682/kartor/A 32981-2024 karta.png", "A 32981-2024")</f>
        <v/>
      </c>
      <c r="Y8">
        <f>HYPERLINK("https://klasma.github.io/Logging_0682/klagomål/A 32981-2024 FSC-klagomål.docx", "A 32981-2024")</f>
        <v/>
      </c>
      <c r="Z8">
        <f>HYPERLINK("https://klasma.github.io/Logging_0682/klagomålsmail/A 32981-2024 FSC-klagomål mail.docx", "A 32981-2024")</f>
        <v/>
      </c>
      <c r="AA8">
        <f>HYPERLINK("https://klasma.github.io/Logging_0682/tillsyn/A 32981-2024 tillsynsbegäran.docx", "A 32981-2024")</f>
        <v/>
      </c>
      <c r="AB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46220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Slåtterfibbla
Sommarfibbla
Ängsstarr
Tvåblad</t>
        </is>
      </c>
      <c r="V9">
        <f>HYPERLINK("https://klasma.github.io/Logging_0682/artfynd/A 37846-2025 artfynd.xlsx", "A 37846-2025")</f>
        <v/>
      </c>
      <c r="W9">
        <f>HYPERLINK("https://klasma.github.io/Logging_0682/kartor/A 37846-2025 karta.png", "A 37846-2025")</f>
        <v/>
      </c>
      <c r="Y9">
        <f>HYPERLINK("https://klasma.github.io/Logging_0682/klagomål/A 37846-2025 FSC-klagomål.docx", "A 37846-2025")</f>
        <v/>
      </c>
      <c r="Z9">
        <f>HYPERLINK("https://klasma.github.io/Logging_0682/klagomålsmail/A 37846-2025 FSC-klagomål mail.docx", "A 37846-2025")</f>
        <v/>
      </c>
      <c r="AA9">
        <f>HYPERLINK("https://klasma.github.io/Logging_0682/tillsyn/A 37846-2025 tillsynsbegäran.docx", "A 37846-2025")</f>
        <v/>
      </c>
      <c r="AB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46220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s="2" t="inlineStr">
        <is>
          <t>Knärot
Gransotdyna
Brandticka
Gröngöling</t>
        </is>
      </c>
      <c r="V10">
        <f>HYPERLINK("https://klasma.github.io/Logging_0682/artfynd/A 45051-2025 artfynd.xlsx", "A 45051-2025")</f>
        <v/>
      </c>
      <c r="W10">
        <f>HYPERLINK("https://klasma.github.io/Logging_0682/kartor/A 45051-2025 karta.png", "A 45051-2025")</f>
        <v/>
      </c>
      <c r="X10">
        <f>HYPERLINK("https://klasma.github.io/Logging_0682/knärot/A 45051-2025 karta knärot.png", "A 45051-2025")</f>
        <v/>
      </c>
      <c r="Y10">
        <f>HYPERLINK("https://klasma.github.io/Logging_0682/klagomål/A 45051-2025 FSC-klagomål.docx", "A 45051-2025")</f>
        <v/>
      </c>
      <c r="Z10">
        <f>HYPERLINK("https://klasma.github.io/Logging_0682/klagomålsmail/A 45051-2025 FSC-klagomål mail.docx", "A 45051-2025")</f>
        <v/>
      </c>
      <c r="AA10">
        <f>HYPERLINK("https://klasma.github.io/Logging_0682/tillsyn/A 45051-2025 tillsynsbegäran.docx", "A 45051-2025")</f>
        <v/>
      </c>
      <c r="AB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46220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Vårärt
Svart trolldruva
Blåsippa
Grönvit nattviol</t>
        </is>
      </c>
      <c r="V11">
        <f>HYPERLINK("https://klasma.github.io/Logging_0682/artfynd/A 3519-2025 artfynd.xlsx", "A 3519-2025")</f>
        <v/>
      </c>
      <c r="W11">
        <f>HYPERLINK("https://klasma.github.io/Logging_0682/kartor/A 3519-2025 karta.png", "A 3519-2025")</f>
        <v/>
      </c>
      <c r="Y11">
        <f>HYPERLINK("https://klasma.github.io/Logging_0682/klagomål/A 3519-2025 FSC-klagomål.docx", "A 3519-2025")</f>
        <v/>
      </c>
      <c r="Z11">
        <f>HYPERLINK("https://klasma.github.io/Logging_0682/klagomålsmail/A 3519-2025 FSC-klagomål mail.docx", "A 3519-2025")</f>
        <v/>
      </c>
      <c r="AA11">
        <f>HYPERLINK("https://klasma.github.io/Logging_0682/tillsyn/A 3519-2025 tillsynsbegäran.docx", "A 3519-2025")</f>
        <v/>
      </c>
      <c r="AB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46220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46220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46220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Svinrot</t>
        </is>
      </c>
      <c r="V14">
        <f>HYPERLINK("https://klasma.github.io/Logging_0682/artfynd/A 5433-2025 artfynd.xlsx", "A 5433-2025")</f>
        <v/>
      </c>
      <c r="W14">
        <f>HYPERLINK("https://klasma.github.io/Logging_0682/kartor/A 5433-2025 karta.png", "A 5433-2025")</f>
        <v/>
      </c>
      <c r="Y14">
        <f>HYPERLINK("https://klasma.github.io/Logging_0682/klagomål/A 5433-2025 FSC-klagomål.docx", "A 5433-2025")</f>
        <v/>
      </c>
      <c r="Z14">
        <f>HYPERLINK("https://klasma.github.io/Logging_0682/klagomålsmail/A 5433-2025 FSC-klagomål mail.docx", "A 5433-2025")</f>
        <v/>
      </c>
      <c r="AA14">
        <f>HYPERLINK("https://klasma.github.io/Logging_0682/tillsyn/A 5433-2025 tillsynsbegäran.docx", "A 5433-2025")</f>
        <v/>
      </c>
      <c r="AB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46220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s="2" t="inlineStr">
        <is>
          <t>Entita
Flodsångare
Kungsfågel</t>
        </is>
      </c>
      <c r="V15">
        <f>HYPERLINK("https://klasma.github.io/Logging_0682/artfynd/A 14539-2024 artfynd.xlsx", "A 14539-2024")</f>
        <v/>
      </c>
      <c r="W15">
        <f>HYPERLINK("https://klasma.github.io/Logging_0682/kartor/A 14539-2024 karta.png", "A 14539-2024")</f>
        <v/>
      </c>
      <c r="Y15">
        <f>HYPERLINK("https://klasma.github.io/Logging_0682/klagomål/A 14539-2024 FSC-klagomål.docx", "A 14539-2024")</f>
        <v/>
      </c>
      <c r="Z15">
        <f>HYPERLINK("https://klasma.github.io/Logging_0682/klagomålsmail/A 14539-2024 FSC-klagomål mail.docx", "A 14539-2024")</f>
        <v/>
      </c>
      <c r="AA15">
        <f>HYPERLINK("https://klasma.github.io/Logging_0682/tillsyn/A 14539-2024 tillsynsbegäran.docx", "A 14539-2024")</f>
        <v/>
      </c>
      <c r="AB15">
        <f>HYPERLINK("https://klasma.github.io/Logging_0682/tillsynsmail/A 14539-2024 tillsynsbegäran mail.docx", "A 14539-2024")</f>
        <v/>
      </c>
      <c r="AC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46220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Y17">
        <f>HYPERLINK("https://klasma.github.io/Logging_0682/klagomål/S 1136-2024 FSC-klagomål.docx", "S 1136-2024")</f>
        <v/>
      </c>
      <c r="Z17">
        <f>HYPERLINK("https://klasma.github.io/Logging_0682/klagomålsmail/S 1136-2024 FSC-klagomål mail.docx", "S 1136-2024")</f>
        <v/>
      </c>
      <c r="AA17">
        <f>HYPERLINK("https://klasma.github.io/Logging_0682/tillsyn/S 1136-2024 tillsynsbegäran.docx", "S 1136-2024")</f>
        <v/>
      </c>
      <c r="AB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46220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Y18">
        <f>HYPERLINK("https://klasma.github.io/Logging_0682/klagomål/S 1468-2024 FSC-klagomål.docx", "S 1468-2024")</f>
        <v/>
      </c>
      <c r="Z18">
        <f>HYPERLINK("https://klasma.github.io/Logging_0682/klagomålsmail/S 1468-2024 FSC-klagomål mail.docx", "S 1468-2024")</f>
        <v/>
      </c>
      <c r="AA18">
        <f>HYPERLINK("https://klasma.github.io/Logging_0682/tillsyn/S 1468-2024 tillsynsbegäran.docx", "S 1468-2024")</f>
        <v/>
      </c>
      <c r="AB18">
        <f>HYPERLINK("https://klasma.github.io/Logging_0682/tillsynsmail/S 1468-2024 tillsynsbegäran mail.docx", "S 1468-2024")</f>
        <v/>
      </c>
      <c r="AC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46220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Y19">
        <f>HYPERLINK("https://klasma.github.io/Logging_0682/klagomål/S 1735-2025 FSC-klagomål.docx", "S 1735-2025")</f>
        <v/>
      </c>
      <c r="Z19">
        <f>HYPERLINK("https://klasma.github.io/Logging_0682/klagomålsmail/S 1735-2025 FSC-klagomål mail.docx", "S 1735-2025")</f>
        <v/>
      </c>
      <c r="AA19">
        <f>HYPERLINK("https://klasma.github.io/Logging_0682/tillsyn/S 1735-2025 tillsynsbegäran.docx", "S 1735-2025")</f>
        <v/>
      </c>
      <c r="AB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46220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Y20">
        <f>HYPERLINK("https://klasma.github.io/Logging_0682/klagomål/A 42834-2021 FSC-klagomål.docx", "A 42834-2021")</f>
        <v/>
      </c>
      <c r="Z20">
        <f>HYPERLINK("https://klasma.github.io/Logging_0682/klagomålsmail/A 42834-2021 FSC-klagomål mail.docx", "A 42834-2021")</f>
        <v/>
      </c>
      <c r="AA20">
        <f>HYPERLINK("https://klasma.github.io/Logging_0682/tillsyn/A 42834-2021 tillsynsbegäran.docx", "A 42834-2021")</f>
        <v/>
      </c>
      <c r="AB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46220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Y21">
        <f>HYPERLINK("https://klasma.github.io/Logging_0682/klagomål/A 70820-2021 FSC-klagomål.docx", "A 70820-2021")</f>
        <v/>
      </c>
      <c r="Z21">
        <f>HYPERLINK("https://klasma.github.io/Logging_0682/klagomålsmail/A 70820-2021 FSC-klagomål mail.docx", "A 70820-2021")</f>
        <v/>
      </c>
      <c r="AA21">
        <f>HYPERLINK("https://klasma.github.io/Logging_0682/tillsyn/A 70820-2021 tillsynsbegäran.docx", "A 70820-2021")</f>
        <v/>
      </c>
      <c r="AB21">
        <f>HYPERLINK("https://klasma.github.io/Logging_0682/tillsynsmail/A 70820-2021 tillsynsbegäran mail.docx", "A 70820-2021")</f>
        <v/>
      </c>
      <c r="AC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46220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HYPERLINK("https://klasma.github.io/Logging_0682/artfynd/A 41195-2021 artfynd.xlsx", "A 41195-2021")</f>
        <v/>
      </c>
      <c r="W22">
        <f>HYPERLINK("https://klasma.github.io/Logging_0682/kartor/A 41195-2021 karta.png", "A 41195-2021")</f>
        <v/>
      </c>
      <c r="Y22">
        <f>HYPERLINK("https://klasma.github.io/Logging_0682/klagomål/A 41195-2021 FSC-klagomål.docx", "A 41195-2021")</f>
        <v/>
      </c>
      <c r="Z22">
        <f>HYPERLINK("https://klasma.github.io/Logging_0682/klagomålsmail/A 41195-2021 FSC-klagomål mail.docx", "A 41195-2021")</f>
        <v/>
      </c>
      <c r="AA22">
        <f>HYPERLINK("https://klasma.github.io/Logging_0682/tillsyn/A 41195-2021 tillsynsbegäran.docx", "A 41195-2021")</f>
        <v/>
      </c>
      <c r="AB22">
        <f>HYPERLINK("https://klasma.github.io/Logging_0682/tillsynsmail/A 41195-2021 tillsynsbegäran mail.docx", "A 41195-2021")</f>
        <v/>
      </c>
      <c r="AC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46220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Kornig nållav</t>
        </is>
      </c>
      <c r="V23">
        <f>HYPERLINK("https://klasma.github.io/Logging_0682/artfynd/A 48462-2024 artfynd.xlsx", "A 48462-2024")</f>
        <v/>
      </c>
      <c r="W23">
        <f>HYPERLINK("https://klasma.github.io/Logging_0682/kartor/A 48462-2024 karta.png", "A 48462-2024")</f>
        <v/>
      </c>
      <c r="Y23">
        <f>HYPERLINK("https://klasma.github.io/Logging_0682/klagomål/A 48462-2024 FSC-klagomål.docx", "A 48462-2024")</f>
        <v/>
      </c>
      <c r="Z23">
        <f>HYPERLINK("https://klasma.github.io/Logging_0682/klagomålsmail/A 48462-2024 FSC-klagomål mail.docx", "A 48462-2024")</f>
        <v/>
      </c>
      <c r="AA23">
        <f>HYPERLINK("https://klasma.github.io/Logging_0682/tillsyn/A 48462-2024 tillsynsbegäran.docx", "A 48462-2024")</f>
        <v/>
      </c>
      <c r="AB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46220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HYPERLINK("https://klasma.github.io/Logging_0682/artfynd/A 17948-2024 artfynd.xlsx", "A 17948-2024")</f>
        <v/>
      </c>
      <c r="W24">
        <f>HYPERLINK("https://klasma.github.io/Logging_0682/kartor/A 17948-2024 karta.png", "A 17948-2024")</f>
        <v/>
      </c>
      <c r="Y24">
        <f>HYPERLINK("https://klasma.github.io/Logging_0682/klagomål/A 17948-2024 FSC-klagomål.docx", "A 17948-2024")</f>
        <v/>
      </c>
      <c r="Z24">
        <f>HYPERLINK("https://klasma.github.io/Logging_0682/klagomålsmail/A 17948-2024 FSC-klagomål mail.docx", "A 17948-2024")</f>
        <v/>
      </c>
      <c r="AA24">
        <f>HYPERLINK("https://klasma.github.io/Logging_0682/tillsyn/A 17948-2024 tillsynsbegäran.docx", "A 17948-2024")</f>
        <v/>
      </c>
      <c r="AB24">
        <f>HYPERLINK("https://klasma.github.io/Logging_0682/tillsynsmail/A 17948-2024 tillsynsbegäran mail.docx", "A 17948-2024")</f>
        <v/>
      </c>
    </row>
    <row r="25" ht="15" customHeight="1">
      <c r="A25" t="inlineStr">
        <is>
          <t>A 63989-2025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46021</v>
      </c>
      <c r="E25" s="1" t="n">
        <v>46220</v>
      </c>
      <c r="F25" t="inlineStr">
        <is>
          <t>JÖNKÖPINGS LÄN</t>
        </is>
      </c>
      <c r="G25" t="inlineStr">
        <is>
          <t>NÄSSJÖ</t>
        </is>
      </c>
      <c r="I25" t="n">
        <v>2.7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Fältgentiana</t>
        </is>
      </c>
      <c r="V25">
        <f>HYPERLINK("https://klasma.github.io/Logging_0682/artfynd/A 63989-2025 artfynd.xlsx", "A 63989-2025")</f>
        <v/>
      </c>
      <c r="W25">
        <f>HYPERLINK("https://klasma.github.io/Logging_0682/kartor/A 63989-2025 karta.png", "A 63989-2025")</f>
        <v/>
      </c>
      <c r="Y25">
        <f>HYPERLINK("https://klasma.github.io/Logging_0682/klagomål/A 63989-2025 FSC-klagomål.docx", "A 63989-2025")</f>
        <v/>
      </c>
      <c r="Z25">
        <f>HYPERLINK("https://klasma.github.io/Logging_0682/klagomålsmail/A 63989-2025 FSC-klagomål mail.docx", "A 63989-2025")</f>
        <v/>
      </c>
      <c r="AA25">
        <f>HYPERLINK("https://klasma.github.io/Logging_0682/tillsyn/A 63989-2025 tillsynsbegäran.docx", "A 63989-2025")</f>
        <v/>
      </c>
      <c r="AB25">
        <f>HYPERLINK("https://klasma.github.io/Logging_0682/tillsynsmail/A 63989-2025 tillsynsbegäran mail.docx", "A 63989-2025")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46220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Ask</t>
        </is>
      </c>
      <c r="V26">
        <f>HYPERLINK("https://klasma.github.io/Logging_0682/artfynd/A 34909-2024 artfynd.xlsx", "A 34909-2024")</f>
        <v/>
      </c>
      <c r="W26">
        <f>HYPERLINK("https://klasma.github.io/Logging_0682/kartor/A 34909-2024 karta.png", "A 34909-2024")</f>
        <v/>
      </c>
      <c r="Y26">
        <f>HYPERLINK("https://klasma.github.io/Logging_0682/klagomål/A 34909-2024 FSC-klagomål.docx", "A 34909-2024")</f>
        <v/>
      </c>
      <c r="Z26">
        <f>HYPERLINK("https://klasma.github.io/Logging_0682/klagomålsmail/A 34909-2024 FSC-klagomål mail.docx", "A 34909-2024")</f>
        <v/>
      </c>
      <c r="AA26">
        <f>HYPERLINK("https://klasma.github.io/Logging_0682/tillsyn/A 34909-2024 tillsynsbegäran.docx", "A 34909-2024")</f>
        <v/>
      </c>
      <c r="AB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46220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Kungsfiskare</t>
        </is>
      </c>
      <c r="V27">
        <f>HYPERLINK("https://klasma.github.io/Logging_0682/artfynd/A 250-2023 artfynd.xlsx", "A 250-2023")</f>
        <v/>
      </c>
      <c r="W27">
        <f>HYPERLINK("https://klasma.github.io/Logging_0682/kartor/A 250-2023 karta.png", "A 250-2023")</f>
        <v/>
      </c>
      <c r="Y27">
        <f>HYPERLINK("https://klasma.github.io/Logging_0682/klagomål/A 250-2023 FSC-klagomål.docx", "A 250-2023")</f>
        <v/>
      </c>
      <c r="Z27">
        <f>HYPERLINK("https://klasma.github.io/Logging_0682/klagomålsmail/A 250-2023 FSC-klagomål mail.docx", "A 250-2023")</f>
        <v/>
      </c>
      <c r="AA27">
        <f>HYPERLINK("https://klasma.github.io/Logging_0682/tillsyn/A 250-2023 tillsynsbegäran.docx", "A 250-2023")</f>
        <v/>
      </c>
      <c r="AB27">
        <f>HYPERLINK("https://klasma.github.io/Logging_0682/tillsynsmail/A 250-2023 tillsynsbegäran mail.docx", "A 250-2023")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46220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Rhithrogena germanica</t>
        </is>
      </c>
      <c r="V28">
        <f>HYPERLINK("https://klasma.github.io/Logging_0682/artfynd/A 33414-2025 artfynd.xlsx", "A 33414-2025")</f>
        <v/>
      </c>
      <c r="W28">
        <f>HYPERLINK("https://klasma.github.io/Logging_0682/kartor/A 33414-2025 karta.png", "A 33414-2025")</f>
        <v/>
      </c>
      <c r="Y28">
        <f>HYPERLINK("https://klasma.github.io/Logging_0682/klagomål/A 33414-2025 FSC-klagomål.docx", "A 33414-2025")</f>
        <v/>
      </c>
      <c r="Z28">
        <f>HYPERLINK("https://klasma.github.io/Logging_0682/klagomålsmail/A 33414-2025 FSC-klagomål mail.docx", "A 33414-2025")</f>
        <v/>
      </c>
      <c r="AA28">
        <f>HYPERLINK("https://klasma.github.io/Logging_0682/tillsyn/A 33414-2025 tillsynsbegäran.docx", "A 33414-2025")</f>
        <v/>
      </c>
      <c r="AB28">
        <f>HYPERLINK("https://klasma.github.io/Logging_0682/tillsynsmail/A 33414-2025 tillsynsbegäran mail.docx", "A 33414-2025")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46220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Ögonpyrola</t>
        </is>
      </c>
      <c r="V29">
        <f>HYPERLINK("https://klasma.github.io/Logging_0682/artfynd/A 33373-2025 artfynd.xlsx", "A 33373-2025")</f>
        <v/>
      </c>
      <c r="W29">
        <f>HYPERLINK("https://klasma.github.io/Logging_0682/kartor/A 33373-2025 karta.png", "A 33373-2025")</f>
        <v/>
      </c>
      <c r="Y29">
        <f>HYPERLINK("https://klasma.github.io/Logging_0682/klagomål/A 33373-2025 FSC-klagomål.docx", "A 33373-2025")</f>
        <v/>
      </c>
      <c r="Z29">
        <f>HYPERLINK("https://klasma.github.io/Logging_0682/klagomålsmail/A 33373-2025 FSC-klagomål mail.docx", "A 33373-2025")</f>
        <v/>
      </c>
      <c r="AA29">
        <f>HYPERLINK("https://klasma.github.io/Logging_0682/tillsyn/A 33373-2025 tillsynsbegäran.docx", "A 33373-2025")</f>
        <v/>
      </c>
      <c r="AB29">
        <f>HYPERLINK("https://klasma.github.io/Logging_0682/tillsynsmail/A 33373-2025 tillsynsbegäran mail.docx", "A 33373-2025")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46220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HYPERLINK("https://klasma.github.io/Logging_0682/artfynd/A 34527-2025 artfynd.xlsx", "A 34527-2025")</f>
        <v/>
      </c>
      <c r="W30">
        <f>HYPERLINK("https://klasma.github.io/Logging_0682/kartor/A 34527-2025 karta.png", "A 34527-2025")</f>
        <v/>
      </c>
      <c r="Y30">
        <f>HYPERLINK("https://klasma.github.io/Logging_0682/klagomål/A 34527-2025 FSC-klagomål.docx", "A 34527-2025")</f>
        <v/>
      </c>
      <c r="Z30">
        <f>HYPERLINK("https://klasma.github.io/Logging_0682/klagomålsmail/A 34527-2025 FSC-klagomål mail.docx", "A 34527-2025")</f>
        <v/>
      </c>
      <c r="AA30">
        <f>HYPERLINK("https://klasma.github.io/Logging_0682/tillsyn/A 34527-2025 tillsynsbegäran.docx", "A 34527-2025")</f>
        <v/>
      </c>
      <c r="AB30">
        <f>HYPERLINK("https://klasma.github.io/Logging_0682/tillsynsmail/A 34527-2025 tillsynsbegäran mail.docx", "A 34527-2025")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46220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Gulsparv</t>
        </is>
      </c>
      <c r="V31">
        <f>HYPERLINK("https://klasma.github.io/Logging_0682/artfynd/A 254-2023 artfynd.xlsx", "A 254-2023")</f>
        <v/>
      </c>
      <c r="W31">
        <f>HYPERLINK("https://klasma.github.io/Logging_0682/kartor/A 254-2023 karta.png", "A 254-2023")</f>
        <v/>
      </c>
      <c r="Y31">
        <f>HYPERLINK("https://klasma.github.io/Logging_0682/klagomål/A 254-2023 FSC-klagomål.docx", "A 254-2023")</f>
        <v/>
      </c>
      <c r="Z31">
        <f>HYPERLINK("https://klasma.github.io/Logging_0682/klagomålsmail/A 254-2023 FSC-klagomål mail.docx", "A 254-2023")</f>
        <v/>
      </c>
      <c r="AA31">
        <f>HYPERLINK("https://klasma.github.io/Logging_0682/tillsyn/A 254-2023 tillsynsbegäran.docx", "A 254-2023")</f>
        <v/>
      </c>
      <c r="AB31">
        <f>HYPERLINK("https://klasma.github.io/Logging_0682/tillsynsmail/A 254-2023 tillsynsbegäran mail.docx", "A 254-2023")</f>
        <v/>
      </c>
      <c r="AC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46220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HYPERLINK("https://klasma.github.io/Logging_0682/artfynd/A 27215-2023 artfynd.xlsx", "A 27215-2023")</f>
        <v/>
      </c>
      <c r="W32">
        <f>HYPERLINK("https://klasma.github.io/Logging_0682/kartor/A 27215-2023 karta.png", "A 27215-2023")</f>
        <v/>
      </c>
      <c r="Y32">
        <f>HYPERLINK("https://klasma.github.io/Logging_0682/klagomål/A 27215-2023 FSC-klagomål.docx", "A 27215-2023")</f>
        <v/>
      </c>
      <c r="Z32">
        <f>HYPERLINK("https://klasma.github.io/Logging_0682/klagomålsmail/A 27215-2023 FSC-klagomål mail.docx", "A 27215-2023")</f>
        <v/>
      </c>
      <c r="AA32">
        <f>HYPERLINK("https://klasma.github.io/Logging_0682/tillsyn/A 27215-2023 tillsynsbegäran.docx", "A 27215-2023")</f>
        <v/>
      </c>
      <c r="AB32">
        <f>HYPERLINK("https://klasma.github.io/Logging_0682/tillsynsmail/A 27215-2023 tillsynsbegäran mail.docx", "A 27215-2023")</f>
        <v/>
      </c>
      <c r="AC32">
        <f>HYPERLINK("https://klasma.github.io/Logging_0682/fåglar/A 27215-2023 prioriterade fågelarter.docx", "A 27215-2023")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46220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Spindelblomster</t>
        </is>
      </c>
      <c r="V33">
        <f>HYPERLINK("https://klasma.github.io/Logging_0682/artfynd/A 50120-2025 artfynd.xlsx", "A 50120-2025")</f>
        <v/>
      </c>
      <c r="W33">
        <f>HYPERLINK("https://klasma.github.io/Logging_0682/kartor/A 50120-2025 karta.png", "A 50120-2025")</f>
        <v/>
      </c>
      <c r="Y33">
        <f>HYPERLINK("https://klasma.github.io/Logging_0682/klagomål/A 50120-2025 FSC-klagomål.docx", "A 50120-2025")</f>
        <v/>
      </c>
      <c r="Z33">
        <f>HYPERLINK("https://klasma.github.io/Logging_0682/klagomålsmail/A 50120-2025 FSC-klagomål mail.docx", "A 50120-2025")</f>
        <v/>
      </c>
      <c r="AA33">
        <f>HYPERLINK("https://klasma.github.io/Logging_0682/tillsyn/A 50120-2025 tillsynsbegäran.docx", "A 50120-2025")</f>
        <v/>
      </c>
      <c r="AB33">
        <f>HYPERLINK("https://klasma.github.io/Logging_0682/tillsynsmail/A 50120-2025 tillsynsbegäran mail.docx", "A 50120-2025")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46220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Mindre vattensalamander</t>
        </is>
      </c>
      <c r="V34">
        <f>HYPERLINK("https://klasma.github.io/Logging_0682/artfynd/A 5108-2026 artfynd.xlsx", "A 5108-2026")</f>
        <v/>
      </c>
      <c r="W34">
        <f>HYPERLINK("https://klasma.github.io/Logging_0682/kartor/A 5108-2026 karta.png", "A 5108-2026")</f>
        <v/>
      </c>
      <c r="Y34">
        <f>HYPERLINK("https://klasma.github.io/Logging_0682/klagomål/A 5108-2026 FSC-klagomål.docx", "A 5108-2026")</f>
        <v/>
      </c>
      <c r="Z34">
        <f>HYPERLINK("https://klasma.github.io/Logging_0682/klagomålsmail/A 5108-2026 FSC-klagomål mail.docx", "A 5108-2026")</f>
        <v/>
      </c>
      <c r="AA34">
        <f>HYPERLINK("https://klasma.github.io/Logging_0682/tillsyn/A 5108-2026 tillsynsbegäran.docx", "A 5108-2026")</f>
        <v/>
      </c>
      <c r="AB34">
        <f>HYPERLINK("https://klasma.github.io/Logging_0682/tillsynsmail/A 5108-2026 tillsynsbegäran mail.docx", "A 5108-2026")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46220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Grönpyrola</t>
        </is>
      </c>
      <c r="V35">
        <f>HYPERLINK("https://klasma.github.io/Logging_0682/artfynd/A 4720-2026 artfynd.xlsx", "A 4720-2026")</f>
        <v/>
      </c>
      <c r="W35">
        <f>HYPERLINK("https://klasma.github.io/Logging_0682/kartor/A 4720-2026 karta.png", "A 4720-2026")</f>
        <v/>
      </c>
      <c r="Y35">
        <f>HYPERLINK("https://klasma.github.io/Logging_0682/klagomål/A 4720-2026 FSC-klagomål.docx", "A 4720-2026")</f>
        <v/>
      </c>
      <c r="Z35">
        <f>HYPERLINK("https://klasma.github.io/Logging_0682/klagomålsmail/A 4720-2026 FSC-klagomål mail.docx", "A 4720-2026")</f>
        <v/>
      </c>
      <c r="AA35">
        <f>HYPERLINK("https://klasma.github.io/Logging_0682/tillsyn/A 4720-2026 tillsynsbegäran.docx", "A 4720-2026")</f>
        <v/>
      </c>
      <c r="AB35">
        <f>HYPERLINK("https://klasma.github.io/Logging_0682/tillsynsmail/A 4720-2026 tillsynsbegäran mail.docx", "A 4720-2026")</f>
        <v/>
      </c>
    </row>
    <row r="36" ht="15" customHeight="1">
      <c r="A36" t="inlineStr">
        <is>
          <t>A 7052-2026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46057</v>
      </c>
      <c r="E36" s="1" t="n">
        <v>46220</v>
      </c>
      <c r="F36" t="inlineStr">
        <is>
          <t>JÖNKÖPINGS LÄN</t>
        </is>
      </c>
      <c r="G36" t="inlineStr">
        <is>
          <t>NÄSSJÖ</t>
        </is>
      </c>
      <c r="I36" t="n">
        <v>5.7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Igelkott</t>
        </is>
      </c>
      <c r="V36">
        <f>HYPERLINK("https://klasma.github.io/Logging_0682/artfynd/A 7052-2026 artfynd.xlsx", "A 7052-2026")</f>
        <v/>
      </c>
      <c r="W36">
        <f>HYPERLINK("https://klasma.github.io/Logging_0682/kartor/A 7052-2026 karta.png", "A 7052-2026")</f>
        <v/>
      </c>
      <c r="Y36">
        <f>HYPERLINK("https://klasma.github.io/Logging_0682/klagomål/A 7052-2026 FSC-klagomål.docx", "A 7052-2026")</f>
        <v/>
      </c>
      <c r="Z36">
        <f>HYPERLINK("https://klasma.github.io/Logging_0682/klagomålsmail/A 7052-2026 FSC-klagomål mail.docx", "A 7052-2026")</f>
        <v/>
      </c>
      <c r="AA36">
        <f>HYPERLINK("https://klasma.github.io/Logging_0682/tillsyn/A 7052-2026 tillsynsbegäran.docx", "A 7052-2026")</f>
        <v/>
      </c>
      <c r="AB36">
        <f>HYPERLINK("https://klasma.github.io/Logging_0682/tillsynsmail/A 7052-2026 tillsynsbegäran mail.docx", "A 7052-2026")</f>
        <v/>
      </c>
    </row>
    <row r="37" ht="15" customHeight="1">
      <c r="A37" t="inlineStr">
        <is>
          <t>A 3693-2022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46220</v>
      </c>
      <c r="F37" t="inlineStr">
        <is>
          <t>JÖNKÖPINGS LÄN</t>
        </is>
      </c>
      <c r="G37" t="inlineStr">
        <is>
          <t>NÄSSJÖ</t>
        </is>
      </c>
      <c r="I37" t="n">
        <v>2.9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Järnsparv</t>
        </is>
      </c>
      <c r="V37">
        <f>HYPERLINK("https://klasma.github.io/Logging_0682/artfynd/A 3693-2022 artfynd.xlsx", "A 3693-2022")</f>
        <v/>
      </c>
      <c r="W37">
        <f>HYPERLINK("https://klasma.github.io/Logging_0682/kartor/A 3693-2022 karta.png", "A 3693-2022")</f>
        <v/>
      </c>
      <c r="Y37">
        <f>HYPERLINK("https://klasma.github.io/Logging_0682/klagomål/A 3693-2022 FSC-klagomål.docx", "A 3693-2022")</f>
        <v/>
      </c>
      <c r="Z37">
        <f>HYPERLINK("https://klasma.github.io/Logging_0682/klagomålsmail/A 3693-2022 FSC-klagomål mail.docx", "A 3693-2022")</f>
        <v/>
      </c>
      <c r="AA37">
        <f>HYPERLINK("https://klasma.github.io/Logging_0682/tillsyn/A 3693-2022 tillsynsbegäran.docx", "A 3693-2022")</f>
        <v/>
      </c>
      <c r="AB37">
        <f>HYPERLINK("https://klasma.github.io/Logging_0682/tillsynsmail/A 3693-2022 tillsynsbegäran mail.docx", "A 3693-2022")</f>
        <v/>
      </c>
      <c r="AC37">
        <f>HYPERLINK("https://klasma.github.io/Logging_0682/fåglar/A 3693-2022 prioriterade fågelarter.docx", "A 3693-2022")</f>
        <v/>
      </c>
    </row>
    <row r="38" ht="15" customHeight="1">
      <c r="A38" t="inlineStr">
        <is>
          <t>A 46451-2022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46220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Sälg</t>
        </is>
      </c>
      <c r="V38">
        <f>HYPERLINK("https://klasma.github.io/Logging_0682/artfynd/A 46451-2022 artfynd.xlsx", "A 46451-2022")</f>
        <v/>
      </c>
      <c r="W38">
        <f>HYPERLINK("https://klasma.github.io/Logging_0682/kartor/A 46451-2022 karta.png", "A 46451-2022")</f>
        <v/>
      </c>
      <c r="Y38">
        <f>HYPERLINK("https://klasma.github.io/Logging_0682/klagomål/A 46451-2022 FSC-klagomål.docx", "A 46451-2022")</f>
        <v/>
      </c>
      <c r="Z38">
        <f>HYPERLINK("https://klasma.github.io/Logging_0682/klagomålsmail/A 46451-2022 FSC-klagomål mail.docx", "A 46451-2022")</f>
        <v/>
      </c>
      <c r="AA38">
        <f>HYPERLINK("https://klasma.github.io/Logging_0682/tillsyn/A 46451-2022 tillsynsbegäran.docx", "A 46451-2022")</f>
        <v/>
      </c>
      <c r="AB38">
        <f>HYPERLINK("https://klasma.github.io/Logging_0682/tillsynsmail/A 46451-2022 tillsynsbegäran mail.docx", "A 46451-2022")</f>
        <v/>
      </c>
    </row>
    <row r="39" ht="15" customHeight="1">
      <c r="A39" t="inlineStr">
        <is>
          <t>A 60892-2024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46220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HYPERLINK("https://klasma.github.io/Logging_0682/artfynd/A 60892-2024 artfynd.xlsx", "A 60892-2024")</f>
        <v/>
      </c>
      <c r="W39">
        <f>HYPERLINK("https://klasma.github.io/Logging_0682/kartor/A 60892-2024 karta.png", "A 60892-2024")</f>
        <v/>
      </c>
      <c r="Y39">
        <f>HYPERLINK("https://klasma.github.io/Logging_0682/klagomål/A 60892-2024 FSC-klagomål.docx", "A 60892-2024")</f>
        <v/>
      </c>
      <c r="Z39">
        <f>HYPERLINK("https://klasma.github.io/Logging_0682/klagomålsmail/A 60892-2024 FSC-klagomål mail.docx", "A 60892-2024")</f>
        <v/>
      </c>
      <c r="AA39">
        <f>HYPERLINK("https://klasma.github.io/Logging_0682/tillsyn/A 60892-2024 tillsynsbegäran.docx", "A 60892-2024")</f>
        <v/>
      </c>
      <c r="AB39">
        <f>HYPERLINK("https://klasma.github.io/Logging_0682/tillsynsmail/A 60892-2024 tillsynsbegäran mail.docx", "A 60892-2024")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46220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Ask</t>
        </is>
      </c>
      <c r="V40">
        <f>HYPERLINK("https://klasma.github.io/Logging_0682/artfynd/A 15048-2026 artfynd.xlsx", "A 15048-2026")</f>
        <v/>
      </c>
      <c r="W40">
        <f>HYPERLINK("https://klasma.github.io/Logging_0682/kartor/A 15048-2026 karta.png", "A 15048-2026")</f>
        <v/>
      </c>
      <c r="Y40">
        <f>HYPERLINK("https://klasma.github.io/Logging_0682/klagomål/A 15048-2026 FSC-klagomål.docx", "A 15048-2026")</f>
        <v/>
      </c>
      <c r="Z40">
        <f>HYPERLINK("https://klasma.github.io/Logging_0682/klagomålsmail/A 15048-2026 FSC-klagomål mail.docx", "A 15048-2026")</f>
        <v/>
      </c>
      <c r="AA40">
        <f>HYPERLINK("https://klasma.github.io/Logging_0682/tillsyn/A 15048-2026 tillsynsbegäran.docx", "A 15048-2026")</f>
        <v/>
      </c>
      <c r="AB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46220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HYPERLINK("https://klasma.github.io/Logging_0682/artfynd/A 15845-2026 artfynd.xlsx", "A 15845-2026")</f>
        <v/>
      </c>
      <c r="W41">
        <f>HYPERLINK("https://klasma.github.io/Logging_0682/kartor/A 15845-2026 karta.png", "A 15845-2026")</f>
        <v/>
      </c>
      <c r="Y41">
        <f>HYPERLINK("https://klasma.github.io/Logging_0682/klagomål/A 15845-2026 FSC-klagomål.docx", "A 15845-2026")</f>
        <v/>
      </c>
      <c r="Z41">
        <f>HYPERLINK("https://klasma.github.io/Logging_0682/klagomålsmail/A 15845-2026 FSC-klagomål mail.docx", "A 15845-2026")</f>
        <v/>
      </c>
      <c r="AA41">
        <f>HYPERLINK("https://klasma.github.io/Logging_0682/tillsyn/A 15845-2026 tillsynsbegäran.docx", "A 15845-2026")</f>
        <v/>
      </c>
      <c r="AB41">
        <f>HYPERLINK("https://klasma.github.io/Logging_0682/tillsynsmail/A 15845-2026 tillsynsbegäran mail.docx", "A 15845-2026")</f>
        <v/>
      </c>
      <c r="AC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46220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Grönpyrola</t>
        </is>
      </c>
      <c r="V42">
        <f>HYPERLINK("https://klasma.github.io/Logging_0682/artfynd/A 18844-2026 artfynd.xlsx", "A 18844-2026")</f>
        <v/>
      </c>
      <c r="W42">
        <f>HYPERLINK("https://klasma.github.io/Logging_0682/kartor/A 18844-2026 karta.png", "A 18844-2026")</f>
        <v/>
      </c>
      <c r="Y42">
        <f>HYPERLINK("https://klasma.github.io/Logging_0682/klagomål/A 18844-2026 FSC-klagomål.docx", "A 18844-2026")</f>
        <v/>
      </c>
      <c r="Z42">
        <f>HYPERLINK("https://klasma.github.io/Logging_0682/klagomålsmail/A 18844-2026 FSC-klagomål mail.docx", "A 18844-2026")</f>
        <v/>
      </c>
      <c r="AA42">
        <f>HYPERLINK("https://klasma.github.io/Logging_0682/tillsyn/A 18844-2026 tillsynsbegäran.docx", "A 18844-2026")</f>
        <v/>
      </c>
      <c r="AB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46220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HYPERLINK("https://klasma.github.io/Logging_0682/artfynd/A 41327-2025 artfynd.xlsx", "A 41327-2025")</f>
        <v/>
      </c>
      <c r="W43">
        <f>HYPERLINK("https://klasma.github.io/Logging_0682/kartor/A 41327-2025 karta.png", "A 41327-2025")</f>
        <v/>
      </c>
      <c r="Y43">
        <f>HYPERLINK("https://klasma.github.io/Logging_0682/klagomål/A 41327-2025 FSC-klagomål.docx", "A 41327-2025")</f>
        <v/>
      </c>
      <c r="Z43">
        <f>HYPERLINK("https://klasma.github.io/Logging_0682/klagomålsmail/A 41327-2025 FSC-klagomål mail.docx", "A 41327-2025")</f>
        <v/>
      </c>
      <c r="AA43">
        <f>HYPERLINK("https://klasma.github.io/Logging_0682/tillsyn/A 41327-2025 tillsynsbegäran.docx", "A 41327-2025")</f>
        <v/>
      </c>
      <c r="AB43">
        <f>HYPERLINK("https://klasma.github.io/Logging_0682/tillsynsmail/A 41327-2025 tillsynsbegäran mail.docx", "A 41327-2025")</f>
        <v/>
      </c>
      <c r="AC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46220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Lopplummer (aggregat)</t>
        </is>
      </c>
      <c r="V44">
        <f>HYPERLINK("https://klasma.github.io/Logging_0682/artfynd/A 33372-2025 artfynd.xlsx", "A 33372-2025")</f>
        <v/>
      </c>
      <c r="W44">
        <f>HYPERLINK("https://klasma.github.io/Logging_0682/kartor/A 33372-2025 karta.png", "A 33372-2025")</f>
        <v/>
      </c>
      <c r="Y44">
        <f>HYPERLINK("https://klasma.github.io/Logging_0682/klagomål/A 33372-2025 FSC-klagomål.docx", "A 33372-2025")</f>
        <v/>
      </c>
      <c r="Z44">
        <f>HYPERLINK("https://klasma.github.io/Logging_0682/klagomålsmail/A 33372-2025 FSC-klagomål mail.docx", "A 33372-2025")</f>
        <v/>
      </c>
      <c r="AA44">
        <f>HYPERLINK("https://klasma.github.io/Logging_0682/tillsyn/A 33372-2025 tillsynsbegäran.docx", "A 33372-2025")</f>
        <v/>
      </c>
      <c r="AB44">
        <f>HYPERLINK("https://klasma.github.io/Logging_0682/tillsynsmail/A 33372-2025 tillsynsbegäran mail.docx", "A 33372-2025")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46220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HYPERLINK("https://klasma.github.io/Logging_0682/artfynd/A 52937-2024 artfynd.xlsx", "A 52937-2024")</f>
        <v/>
      </c>
      <c r="W45">
        <f>HYPERLINK("https://klasma.github.io/Logging_0682/kartor/A 52937-2024 karta.png", "A 52937-2024")</f>
        <v/>
      </c>
      <c r="Y45">
        <f>HYPERLINK("https://klasma.github.io/Logging_0682/klagomål/A 52937-2024 FSC-klagomål.docx", "A 52937-2024")</f>
        <v/>
      </c>
      <c r="Z45">
        <f>HYPERLINK("https://klasma.github.io/Logging_0682/klagomålsmail/A 52937-2024 FSC-klagomål mail.docx", "A 52937-2024")</f>
        <v/>
      </c>
      <c r="AA45">
        <f>HYPERLINK("https://klasma.github.io/Logging_0682/tillsyn/A 52937-2024 tillsynsbegäran.docx", "A 52937-2024")</f>
        <v/>
      </c>
      <c r="AB45">
        <f>HYPERLINK("https://klasma.github.io/Logging_0682/tillsynsmail/A 52937-2024 tillsynsbegäran mail.docx", "A 52937-2024")</f>
        <v/>
      </c>
      <c r="AC45">
        <f>HYPERLINK("https://klasma.github.io/Logging_0682/fåglar/A 52937-2024 prioriterade fågelarter.docx", "A 52937-2024")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46220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s="2" t="inlineStr">
        <is>
          <t>Knärot</t>
        </is>
      </c>
      <c r="V46">
        <f>HYPERLINK("https://klasma.github.io/Logging_0682/artfynd/A 55860-2022 artfynd.xlsx", "A 55860-2022")</f>
        <v/>
      </c>
      <c r="W46">
        <f>HYPERLINK("https://klasma.github.io/Logging_0682/kartor/A 55860-2022 karta.png", "A 55860-2022")</f>
        <v/>
      </c>
      <c r="X46">
        <f>HYPERLINK("https://klasma.github.io/Logging_0682/knärot/A 55860-2022 karta knärot.png", "A 55860-2022")</f>
        <v/>
      </c>
      <c r="Y46">
        <f>HYPERLINK("https://klasma.github.io/Logging_0682/klagomål/A 55860-2022 FSC-klagomål.docx", "A 55860-2022")</f>
        <v/>
      </c>
      <c r="Z46">
        <f>HYPERLINK("https://klasma.github.io/Logging_0682/klagomålsmail/A 55860-2022 FSC-klagomål mail.docx", "A 55860-2022")</f>
        <v/>
      </c>
      <c r="AA46">
        <f>HYPERLINK("https://klasma.github.io/Logging_0682/tillsyn/A 55860-2022 tillsynsbegäran.docx", "A 55860-2022")</f>
        <v/>
      </c>
      <c r="AB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46220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Kungsfågel</t>
        </is>
      </c>
      <c r="V47">
        <f>HYPERLINK("https://klasma.github.io/Logging_0682/artfynd/A 35328-2024 artfynd.xlsx", "A 35328-2024")</f>
        <v/>
      </c>
      <c r="W47">
        <f>HYPERLINK("https://klasma.github.io/Logging_0682/kartor/A 35328-2024 karta.png", "A 35328-2024")</f>
        <v/>
      </c>
      <c r="Y47">
        <f>HYPERLINK("https://klasma.github.io/Logging_0682/klagomål/A 35328-2024 FSC-klagomål.docx", "A 35328-2024")</f>
        <v/>
      </c>
      <c r="Z47">
        <f>HYPERLINK("https://klasma.github.io/Logging_0682/klagomålsmail/A 35328-2024 FSC-klagomål mail.docx", "A 35328-2024")</f>
        <v/>
      </c>
      <c r="AA47">
        <f>HYPERLINK("https://klasma.github.io/Logging_0682/tillsyn/A 35328-2024 tillsynsbegäran.docx", "A 35328-2024")</f>
        <v/>
      </c>
      <c r="AB47">
        <f>HYPERLINK("https://klasma.github.io/Logging_0682/tillsynsmail/A 35328-2024 tillsynsbegäran mail.docx", "A 35328-2024")</f>
        <v/>
      </c>
    </row>
    <row r="48" ht="15" customHeight="1">
      <c r="A48" t="inlineStr">
        <is>
          <t>A 20607-2026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46140</v>
      </c>
      <c r="E48" s="1" t="n">
        <v>46220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Grönvit nattviol</t>
        </is>
      </c>
      <c r="V48">
        <f>HYPERLINK("https://klasma.github.io/Logging_0682/artfynd/A 20607-2026 artfynd.xlsx", "A 20607-2026")</f>
        <v/>
      </c>
      <c r="W48">
        <f>HYPERLINK("https://klasma.github.io/Logging_0682/kartor/A 20607-2026 karta.png", "A 20607-2026")</f>
        <v/>
      </c>
      <c r="Y48">
        <f>HYPERLINK("https://klasma.github.io/Logging_0682/klagomål/A 20607-2026 FSC-klagomål.docx", "A 20607-2026")</f>
        <v/>
      </c>
      <c r="Z48">
        <f>HYPERLINK("https://klasma.github.io/Logging_0682/klagomålsmail/A 20607-2026 FSC-klagomål mail.docx", "A 20607-2026")</f>
        <v/>
      </c>
      <c r="AA48">
        <f>HYPERLINK("https://klasma.github.io/Logging_0682/tillsyn/A 20607-2026 tillsynsbegäran.docx", "A 20607-2026")</f>
        <v/>
      </c>
      <c r="AB48">
        <f>HYPERLINK("https://klasma.github.io/Logging_0682/tillsynsmail/A 20607-2026 tillsynsbegäran mail.docx", "A 20607-2026")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Y49">
        <f>HYPERLINK("https://klasma.github.io/Logging_0682/klagomål/S 2370-2023 FSC-klagomål.docx", "S 2370-2023")</f>
        <v/>
      </c>
      <c r="Z49">
        <f>HYPERLINK("https://klasma.github.io/Logging_0682/klagomålsmail/S 2370-2023 FSC-klagomål mail.docx", "S 2370-2023")</f>
        <v/>
      </c>
      <c r="AA49">
        <f>HYPERLINK("https://klasma.github.io/Logging_0682/tillsyn/S 2370-2023 tillsynsbegäran.docx", "S 2370-2023")</f>
        <v/>
      </c>
      <c r="AB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46220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Y50">
        <f>HYPERLINK("https://klasma.github.io/Logging_0682/klagomål/S 1083-2023 FSC-klagomål.docx", "S 1083-2023")</f>
        <v/>
      </c>
      <c r="Z50">
        <f>HYPERLINK("https://klasma.github.io/Logging_0682/klagomålsmail/S 1083-2023 FSC-klagomål mail.docx", "S 1083-2023")</f>
        <v/>
      </c>
      <c r="AA50">
        <f>HYPERLINK("https://klasma.github.io/Logging_0682/tillsyn/S 1083-2023 tillsynsbegäran.docx", "S 1083-2023")</f>
        <v/>
      </c>
      <c r="AB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46220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HYPERLINK("https://klasma.github.io/Logging_0682/knärot/S 1505-2023 karta knärot.png", "S 1505-2023")</f>
        <v/>
      </c>
      <c r="Y51">
        <f>HYPERLINK("https://klasma.github.io/Logging_0682/klagomål/S 1505-2023 FSC-klagomål.docx", "S 1505-2023")</f>
        <v/>
      </c>
      <c r="Z51">
        <f>HYPERLINK("https://klasma.github.io/Logging_0682/klagomålsmail/S 1505-2023 FSC-klagomål mail.docx", "S 1505-2023")</f>
        <v/>
      </c>
      <c r="AA51">
        <f>HYPERLINK("https://klasma.github.io/Logging_0682/tillsyn/S 1505-2023 tillsynsbegäran.docx", "S 1505-2023")</f>
        <v/>
      </c>
      <c r="AB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46220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Y52">
        <f>HYPERLINK("https://klasma.github.io/Logging_0682/klagomål/S 572-2025 FSC-klagomål.docx", "S 572-2025")</f>
        <v/>
      </c>
      <c r="Z52">
        <f>HYPERLINK("https://klasma.github.io/Logging_0682/klagomålsmail/S 572-2025 FSC-klagomål mail.docx", "S 572-2025")</f>
        <v/>
      </c>
      <c r="AA52">
        <f>HYPERLINK("https://klasma.github.io/Logging_0682/tillsyn/S 572-2025 tillsynsbegäran.docx", "S 572-2025")</f>
        <v/>
      </c>
      <c r="AB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46220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46220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46220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46220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46220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46220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46220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46220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46220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46220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46220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46220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46220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46220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46220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46220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46220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46220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46220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46220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46220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46220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46220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46220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46220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46220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46220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46220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46220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46220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46220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46220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46220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46220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46220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46220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46220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46220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46220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46220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46220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46220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46220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46220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46220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46220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46220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29183-2022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46220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17369-2022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46220</v>
      </c>
      <c r="F102" t="inlineStr">
        <is>
          <t>JÖNKÖPINGS LÄN</t>
        </is>
      </c>
      <c r="G102" t="inlineStr">
        <is>
          <t>NÄSSJÖ</t>
        </is>
      </c>
      <c r="I102" t="n">
        <v>12.9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46220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46220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46220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37946-2022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46220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14037-2022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44650</v>
      </c>
      <c r="E107" s="1" t="n">
        <v>46220</v>
      </c>
      <c r="F107" t="inlineStr">
        <is>
          <t>JÖNKÖPINGS LÄN</t>
        </is>
      </c>
      <c r="G107" t="inlineStr">
        <is>
          <t>NÄSSJÖ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44568</v>
      </c>
      <c r="E108" s="1" t="n">
        <v>46220</v>
      </c>
      <c r="F108" t="inlineStr">
        <is>
          <t>JÖNKÖPINGS LÄN</t>
        </is>
      </c>
      <c r="G108" t="inlineStr">
        <is>
          <t>NÄSSJÖ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11851-2022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46220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46220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46220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14116-2023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46220</v>
      </c>
      <c r="F112" t="inlineStr">
        <is>
          <t>JÖNKÖPINGS LÄN</t>
        </is>
      </c>
      <c r="G112" t="inlineStr">
        <is>
          <t>NÄSSJÖ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23571-2024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46220</v>
      </c>
      <c r="F113" t="inlineStr">
        <is>
          <t>JÖNKÖPINGS LÄN</t>
        </is>
      </c>
      <c r="G113" t="inlineStr">
        <is>
          <t>NÄSSJÖ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29006-2024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46220</v>
      </c>
      <c r="F114" t="inlineStr">
        <is>
          <t>JÖNKÖPINGS LÄN</t>
        </is>
      </c>
      <c r="G114" t="inlineStr">
        <is>
          <t>NÄSSJÖ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46220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15759-2023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46220</v>
      </c>
      <c r="F116" t="inlineStr">
        <is>
          <t>JÖNKÖPINGS LÄN</t>
        </is>
      </c>
      <c r="G116" t="inlineStr">
        <is>
          <t>NÄSSJÖ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49389-2021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46220</v>
      </c>
      <c r="F117" t="inlineStr">
        <is>
          <t>JÖNKÖPINGS LÄN</t>
        </is>
      </c>
      <c r="G117" t="inlineStr">
        <is>
          <t>NÄSSJÖ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1489-2025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45670</v>
      </c>
      <c r="E118" s="1" t="n">
        <v>46220</v>
      </c>
      <c r="F118" t="inlineStr">
        <is>
          <t>JÖNKÖPINGS LÄN</t>
        </is>
      </c>
      <c r="G118" t="inlineStr">
        <is>
          <t>NÄSSJÖ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16850-2025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46220</v>
      </c>
      <c r="F119" t="inlineStr">
        <is>
          <t>JÖNKÖPINGS LÄN</t>
        </is>
      </c>
      <c r="G119" t="inlineStr">
        <is>
          <t>NÄSSJÖ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49880-2023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45213</v>
      </c>
      <c r="E120" s="1" t="n">
        <v>46220</v>
      </c>
      <c r="F120" t="inlineStr">
        <is>
          <t>JÖNKÖPINGS LÄN</t>
        </is>
      </c>
      <c r="G120" t="inlineStr">
        <is>
          <t>NÄSSJÖ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10436-2025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46220</v>
      </c>
      <c r="F121" t="inlineStr">
        <is>
          <t>JÖNKÖPINGS LÄN</t>
        </is>
      </c>
      <c r="G121" t="inlineStr">
        <is>
          <t>NÄSSJÖ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51136-2023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45219</v>
      </c>
      <c r="E122" s="1" t="n">
        <v>46220</v>
      </c>
      <c r="F122" t="inlineStr">
        <is>
          <t>JÖNKÖPINGS LÄN</t>
        </is>
      </c>
      <c r="G122" t="inlineStr">
        <is>
          <t>NÄSSJÖ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7357-2025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45704</v>
      </c>
      <c r="E123" s="1" t="n">
        <v>46220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8531-2023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44972</v>
      </c>
      <c r="E124" s="1" t="n">
        <v>46220</v>
      </c>
      <c r="F124" t="inlineStr">
        <is>
          <t>JÖNKÖPINGS LÄN</t>
        </is>
      </c>
      <c r="G124" t="inlineStr">
        <is>
          <t>NÄSSJÖ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36945-2023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45154</v>
      </c>
      <c r="E125" s="1" t="n">
        <v>46220</v>
      </c>
      <c r="F125" t="inlineStr">
        <is>
          <t>JÖNKÖPINGS LÄN</t>
        </is>
      </c>
      <c r="G125" t="inlineStr">
        <is>
          <t>NÄSSJÖ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55592-2023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45238</v>
      </c>
      <c r="E126" s="1" t="n">
        <v>46220</v>
      </c>
      <c r="F126" t="inlineStr">
        <is>
          <t>JÖNKÖPINGS LÄN</t>
        </is>
      </c>
      <c r="G126" t="inlineStr">
        <is>
          <t>NÄSSJÖ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46220</v>
      </c>
      <c r="F127" t="inlineStr">
        <is>
          <t>JÖNKÖPINGS LÄN</t>
        </is>
      </c>
      <c r="G127" t="inlineStr">
        <is>
          <t>NÄSSJÖ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63742-2023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45277</v>
      </c>
      <c r="E128" s="1" t="n">
        <v>46220</v>
      </c>
      <c r="F128" t="inlineStr">
        <is>
          <t>JÖNKÖPINGS LÄN</t>
        </is>
      </c>
      <c r="G128" t="inlineStr">
        <is>
          <t>NÄSSJÖ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39252-2023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46220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16775-2023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45031</v>
      </c>
      <c r="E130" s="1" t="n">
        <v>46220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30412-2023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46220</v>
      </c>
      <c r="F131" t="inlineStr">
        <is>
          <t>JÖNKÖPINGS LÄN</t>
        </is>
      </c>
      <c r="G131" t="inlineStr">
        <is>
          <t>NÄSSJÖ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50815-2022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44867</v>
      </c>
      <c r="E132" s="1" t="n">
        <v>46220</v>
      </c>
      <c r="F132" t="inlineStr">
        <is>
          <t>JÖNKÖPINGS LÄN</t>
        </is>
      </c>
      <c r="G132" t="inlineStr">
        <is>
          <t>NÄSSJÖ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12657-2024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45380</v>
      </c>
      <c r="E133" s="1" t="n">
        <v>46220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63635-2023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46220</v>
      </c>
      <c r="F134" t="inlineStr">
        <is>
          <t>JÖNKÖPINGS LÄN</t>
        </is>
      </c>
      <c r="G134" t="inlineStr">
        <is>
          <t>NÄSSJÖ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46220</v>
      </c>
      <c r="F135" t="inlineStr">
        <is>
          <t>JÖNKÖPINGS LÄN</t>
        </is>
      </c>
      <c r="G135" t="inlineStr">
        <is>
          <t>NÄSSJÖ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38615-2023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46220</v>
      </c>
      <c r="F136" t="inlineStr">
        <is>
          <t>JÖNKÖPINGS LÄN</t>
        </is>
      </c>
      <c r="G136" t="inlineStr">
        <is>
          <t>NÄSSJÖ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31172-2024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45503</v>
      </c>
      <c r="E137" s="1" t="n">
        <v>46220</v>
      </c>
      <c r="F137" t="inlineStr">
        <is>
          <t>JÖNKÖPINGS LÄN</t>
        </is>
      </c>
      <c r="G137" t="inlineStr">
        <is>
          <t>NÄSSJÖ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46220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59167-2024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46220</v>
      </c>
      <c r="F139" t="inlineStr">
        <is>
          <t>JÖNKÖPINGS LÄN</t>
        </is>
      </c>
      <c r="G139" t="inlineStr">
        <is>
          <t>NÄSSJÖ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46220</v>
      </c>
      <c r="F140" t="inlineStr">
        <is>
          <t>JÖNKÖPINGS LÄN</t>
        </is>
      </c>
      <c r="G140" t="inlineStr">
        <is>
          <t>NÄSSJÖ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23924-2025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45795</v>
      </c>
      <c r="E141" s="1" t="n">
        <v>46220</v>
      </c>
      <c r="F141" t="inlineStr">
        <is>
          <t>JÖNKÖPINGS LÄN</t>
        </is>
      </c>
      <c r="G141" t="inlineStr">
        <is>
          <t>NÄSSJÖ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35811-2023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45148</v>
      </c>
      <c r="E142" s="1" t="n">
        <v>46220</v>
      </c>
      <c r="F142" t="inlineStr">
        <is>
          <t>JÖNKÖPINGS LÄN</t>
        </is>
      </c>
      <c r="G142" t="inlineStr">
        <is>
          <t>NÄSSJÖ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60724-2023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45260</v>
      </c>
      <c r="E143" s="1" t="n">
        <v>46220</v>
      </c>
      <c r="F143" t="inlineStr">
        <is>
          <t>JÖNKÖPINGS LÄN</t>
        </is>
      </c>
      <c r="G143" t="inlineStr">
        <is>
          <t>NÄSSJÖ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60463-2023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45259</v>
      </c>
      <c r="E144" s="1" t="n">
        <v>46220</v>
      </c>
      <c r="F144" t="inlineStr">
        <is>
          <t>JÖNKÖPINGS LÄN</t>
        </is>
      </c>
      <c r="G144" t="inlineStr">
        <is>
          <t>NÄSSJÖ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46220</v>
      </c>
      <c r="F145" t="inlineStr">
        <is>
          <t>JÖNKÖPINGS LÄN</t>
        </is>
      </c>
      <c r="G145" t="inlineStr">
        <is>
          <t>NÄSSJÖ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45795</v>
      </c>
      <c r="E146" s="1" t="n">
        <v>46220</v>
      </c>
      <c r="F146" t="inlineStr">
        <is>
          <t>JÖNKÖPINGS LÄN</t>
        </is>
      </c>
      <c r="G146" t="inlineStr">
        <is>
          <t>NÄSSJÖ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11903-2025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46220</v>
      </c>
      <c r="F147" t="inlineStr">
        <is>
          <t>JÖNKÖPINGS LÄN</t>
        </is>
      </c>
      <c r="G147" t="inlineStr">
        <is>
          <t>NÄSSJÖ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46220</v>
      </c>
      <c r="F148" t="inlineStr">
        <is>
          <t>JÖNKÖPINGS LÄN</t>
        </is>
      </c>
      <c r="G148" t="inlineStr">
        <is>
          <t>NÄSSJÖ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8723-2024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45356</v>
      </c>
      <c r="E149" s="1" t="n">
        <v>46220</v>
      </c>
      <c r="F149" t="inlineStr">
        <is>
          <t>JÖNKÖPINGS LÄN</t>
        </is>
      </c>
      <c r="G149" t="inlineStr">
        <is>
          <t>NÄSSJÖ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46220</v>
      </c>
      <c r="F150" t="inlineStr">
        <is>
          <t>JÖNKÖPINGS LÄN</t>
        </is>
      </c>
      <c r="G150" t="inlineStr">
        <is>
          <t>NÄSSJÖ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30186-2025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45827</v>
      </c>
      <c r="E151" s="1" t="n">
        <v>46220</v>
      </c>
      <c r="F151" t="inlineStr">
        <is>
          <t>JÖNKÖPINGS LÄN</t>
        </is>
      </c>
      <c r="G151" t="inlineStr">
        <is>
          <t>NÄSSJÖ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10946-2025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45723</v>
      </c>
      <c r="E152" s="1" t="n">
        <v>46220</v>
      </c>
      <c r="F152" t="inlineStr">
        <is>
          <t>JÖNKÖPINGS LÄN</t>
        </is>
      </c>
      <c r="G152" t="inlineStr">
        <is>
          <t>NÄSSJÖ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12305-2025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45729</v>
      </c>
      <c r="E153" s="1" t="n">
        <v>46220</v>
      </c>
      <c r="F153" t="inlineStr">
        <is>
          <t>JÖNKÖPINGS LÄN</t>
        </is>
      </c>
      <c r="G153" t="inlineStr">
        <is>
          <t>NÄSSJÖ</t>
        </is>
      </c>
      <c r="I153" t="n">
        <v>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62224-2023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46220</v>
      </c>
      <c r="F154" t="inlineStr">
        <is>
          <t>JÖNKÖPINGS LÄN</t>
        </is>
      </c>
      <c r="G154" t="inlineStr">
        <is>
          <t>NÄSSJÖ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46220</v>
      </c>
      <c r="F155" t="inlineStr">
        <is>
          <t>JÖNKÖPINGS LÄN</t>
        </is>
      </c>
      <c r="G155" t="inlineStr">
        <is>
          <t>NÄSSJÖ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29987-2023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45109</v>
      </c>
      <c r="E156" s="1" t="n">
        <v>46220</v>
      </c>
      <c r="F156" t="inlineStr">
        <is>
          <t>JÖNKÖPINGS LÄN</t>
        </is>
      </c>
      <c r="G156" t="inlineStr">
        <is>
          <t>NÄSSJÖ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29988-2023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45109</v>
      </c>
      <c r="E157" s="1" t="n">
        <v>46220</v>
      </c>
      <c r="F157" t="inlineStr">
        <is>
          <t>JÖNKÖPINGS LÄN</t>
        </is>
      </c>
      <c r="G157" t="inlineStr">
        <is>
          <t>NÄSSJÖ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45335</v>
      </c>
      <c r="E158" s="1" t="n">
        <v>46220</v>
      </c>
      <c r="F158" t="inlineStr">
        <is>
          <t>JÖNKÖPINGS LÄN</t>
        </is>
      </c>
      <c r="G158" t="inlineStr">
        <is>
          <t>NÄSSJÖ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46220</v>
      </c>
      <c r="F159" t="inlineStr">
        <is>
          <t>JÖNKÖPINGS LÄN</t>
        </is>
      </c>
      <c r="G159" t="inlineStr">
        <is>
          <t>NÄSSJÖ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25418-2025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46220</v>
      </c>
      <c r="F160" t="inlineStr">
        <is>
          <t>JÖNKÖPINGS LÄN</t>
        </is>
      </c>
      <c r="G160" t="inlineStr">
        <is>
          <t>NÄSSJÖ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39210-2025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46220</v>
      </c>
      <c r="F161" t="inlineStr">
        <is>
          <t>JÖNKÖPINGS LÄN</t>
        </is>
      </c>
      <c r="G161" t="inlineStr">
        <is>
          <t>NÄSSJÖ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46220</v>
      </c>
      <c r="F162" t="inlineStr">
        <is>
          <t>JÖNKÖPINGS LÄN</t>
        </is>
      </c>
      <c r="G162" t="inlineStr">
        <is>
          <t>NÄSSJÖ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44566-2023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46220</v>
      </c>
      <c r="F163" t="inlineStr">
        <is>
          <t>JÖNKÖPINGS LÄN</t>
        </is>
      </c>
      <c r="G163" t="inlineStr">
        <is>
          <t>NÄSSJÖ</t>
        </is>
      </c>
      <c r="I163" t="n">
        <v>11.8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43998-2023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46220</v>
      </c>
      <c r="F164" t="inlineStr">
        <is>
          <t>JÖNKÖPINGS LÄN</t>
        </is>
      </c>
      <c r="G164" t="inlineStr">
        <is>
          <t>NÄSSJÖ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46220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29836-2024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45485</v>
      </c>
      <c r="E166" s="1" t="n">
        <v>46220</v>
      </c>
      <c r="F166" t="inlineStr">
        <is>
          <t>JÖNKÖPINGS LÄN</t>
        </is>
      </c>
      <c r="G166" t="inlineStr">
        <is>
          <t>NÄSSJÖ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14654-2023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46220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46220</v>
      </c>
      <c r="F168" t="inlineStr">
        <is>
          <t>JÖNKÖPINGS LÄN</t>
        </is>
      </c>
      <c r="G168" t="inlineStr">
        <is>
          <t>NÄSSJÖ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51314-2024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46220</v>
      </c>
      <c r="F169" t="inlineStr">
        <is>
          <t>JÖNKÖPINGS LÄN</t>
        </is>
      </c>
      <c r="G169" t="inlineStr">
        <is>
          <t>NÄSSJÖ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39555-2025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45890</v>
      </c>
      <c r="E170" s="1" t="n">
        <v>46220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46220</v>
      </c>
      <c r="F171" t="inlineStr">
        <is>
          <t>JÖNKÖPINGS LÄN</t>
        </is>
      </c>
      <c r="G171" t="inlineStr">
        <is>
          <t>NÄSSJÖ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39945-2025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45892</v>
      </c>
      <c r="E172" s="1" t="n">
        <v>46220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45693</v>
      </c>
      <c r="E173" s="1" t="n">
        <v>46220</v>
      </c>
      <c r="F173" t="inlineStr">
        <is>
          <t>JÖNKÖPINGS LÄN</t>
        </is>
      </c>
      <c r="G173" t="inlineStr">
        <is>
          <t>NÄSSJÖ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46220</v>
      </c>
      <c r="F174" t="inlineStr">
        <is>
          <t>JÖNKÖPINGS LÄN</t>
        </is>
      </c>
      <c r="G174" t="inlineStr">
        <is>
          <t>NÄSSJÖ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45303</v>
      </c>
      <c r="E175" s="1" t="n">
        <v>46220</v>
      </c>
      <c r="F175" t="inlineStr">
        <is>
          <t>JÖNKÖPINGS LÄN</t>
        </is>
      </c>
      <c r="G175" t="inlineStr">
        <is>
          <t>NÄSSJÖ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12577-2025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45732</v>
      </c>
      <c r="E176" s="1" t="n">
        <v>46220</v>
      </c>
      <c r="F176" t="inlineStr">
        <is>
          <t>JÖNKÖPINGS LÄN</t>
        </is>
      </c>
      <c r="G176" t="inlineStr">
        <is>
          <t>NÄSSJÖ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41330-2025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45899</v>
      </c>
      <c r="E177" s="1" t="n">
        <v>46220</v>
      </c>
      <c r="F177" t="inlineStr">
        <is>
          <t>JÖNKÖPINGS LÄN</t>
        </is>
      </c>
      <c r="G177" t="inlineStr">
        <is>
          <t>NÄSSJÖ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14778-2023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45014</v>
      </c>
      <c r="E178" s="1" t="n">
        <v>46220</v>
      </c>
      <c r="F178" t="inlineStr">
        <is>
          <t>JÖNKÖPINGS LÄN</t>
        </is>
      </c>
      <c r="G178" t="inlineStr">
        <is>
          <t>NÄSSJÖ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28277-2025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46220</v>
      </c>
      <c r="F179" t="inlineStr">
        <is>
          <t>JÖNKÖPINGS LÄN</t>
        </is>
      </c>
      <c r="G179" t="inlineStr">
        <is>
          <t>NÄSSJÖ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28279-2025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46220</v>
      </c>
      <c r="F180" t="inlineStr">
        <is>
          <t>JÖNKÖPINGS LÄN</t>
        </is>
      </c>
      <c r="G180" t="inlineStr">
        <is>
          <t>NÄSSJÖ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24533-2024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46220</v>
      </c>
      <c r="F181" t="inlineStr">
        <is>
          <t>JÖNKÖPINGS LÄN</t>
        </is>
      </c>
      <c r="G181" t="inlineStr">
        <is>
          <t>NÄSSJÖ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28271-2025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46220</v>
      </c>
      <c r="F182" t="inlineStr">
        <is>
          <t>JÖNKÖPINGS LÄN</t>
        </is>
      </c>
      <c r="G182" t="inlineStr">
        <is>
          <t>NÄSSJÖ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12950-2025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45734</v>
      </c>
      <c r="E183" s="1" t="n">
        <v>46220</v>
      </c>
      <c r="F183" t="inlineStr">
        <is>
          <t>JÖNKÖPINGS LÄN</t>
        </is>
      </c>
      <c r="G183" t="inlineStr">
        <is>
          <t>NÄSSJÖ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42115-2025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46220</v>
      </c>
      <c r="F184" t="inlineStr">
        <is>
          <t>JÖNKÖPINGS LÄN</t>
        </is>
      </c>
      <c r="G184" t="inlineStr">
        <is>
          <t>NÄSSJÖ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42186-2025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46220</v>
      </c>
      <c r="F185" t="inlineStr">
        <is>
          <t>JÖNKÖPINGS LÄN</t>
        </is>
      </c>
      <c r="G185" t="inlineStr">
        <is>
          <t>NÄSSJÖ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46220</v>
      </c>
      <c r="F186" t="inlineStr">
        <is>
          <t>JÖNKÖPINGS LÄN</t>
        </is>
      </c>
      <c r="G186" t="inlineStr">
        <is>
          <t>NÄSSJÖ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29217-2025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46220</v>
      </c>
      <c r="F187" t="inlineStr">
        <is>
          <t>JÖNKÖPINGS LÄN</t>
        </is>
      </c>
      <c r="G187" t="inlineStr">
        <is>
          <t>NÄSSJÖ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29184-2025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46220</v>
      </c>
      <c r="F188" t="inlineStr">
        <is>
          <t>JÖNKÖPINGS LÄN</t>
        </is>
      </c>
      <c r="G188" t="inlineStr">
        <is>
          <t>NÄSSJÖ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32982-2024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45517</v>
      </c>
      <c r="E189" s="1" t="n">
        <v>46220</v>
      </c>
      <c r="F189" t="inlineStr">
        <is>
          <t>JÖNKÖPINGS LÄN</t>
        </is>
      </c>
      <c r="G189" t="inlineStr">
        <is>
          <t>NÄSSJÖ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29242-2025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46220</v>
      </c>
      <c r="F190" t="inlineStr">
        <is>
          <t>JÖNKÖPINGS LÄN</t>
        </is>
      </c>
      <c r="G190" t="inlineStr">
        <is>
          <t>NÄSSJÖ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29215-2025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46220</v>
      </c>
      <c r="F191" t="inlineStr">
        <is>
          <t>JÖNKÖPINGS LÄN</t>
        </is>
      </c>
      <c r="G191" t="inlineStr">
        <is>
          <t>NÄSSJÖ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29214-2025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46220</v>
      </c>
      <c r="F192" t="inlineStr">
        <is>
          <t>JÖNKÖPINGS LÄN</t>
        </is>
      </c>
      <c r="G192" t="inlineStr">
        <is>
          <t>NÄSSJÖ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42916-2025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46220</v>
      </c>
      <c r="F193" t="inlineStr">
        <is>
          <t>JÖNKÖPINGS LÄN</t>
        </is>
      </c>
      <c r="G193" t="inlineStr">
        <is>
          <t>NÄSSJÖ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42665-2025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45907</v>
      </c>
      <c r="E194" s="1" t="n">
        <v>46220</v>
      </c>
      <c r="F194" t="inlineStr">
        <is>
          <t>JÖNKÖPINGS LÄN</t>
        </is>
      </c>
      <c r="G194" t="inlineStr">
        <is>
          <t>NÄSSJÖ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46220</v>
      </c>
      <c r="F195" t="inlineStr">
        <is>
          <t>JÖNKÖPINGS LÄN</t>
        </is>
      </c>
      <c r="G195" t="inlineStr">
        <is>
          <t>NÄSSJÖ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46220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46220</v>
      </c>
      <c r="F197" t="inlineStr">
        <is>
          <t>JÖNKÖPINGS LÄN</t>
        </is>
      </c>
      <c r="G197" t="inlineStr">
        <is>
          <t>NÄSSJÖ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54303-2021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44472</v>
      </c>
      <c r="E198" s="1" t="n">
        <v>46220</v>
      </c>
      <c r="F198" t="inlineStr">
        <is>
          <t>JÖNKÖPINGS LÄN</t>
        </is>
      </c>
      <c r="G198" t="inlineStr">
        <is>
          <t>NÄSSJÖ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46220</v>
      </c>
      <c r="F199" t="inlineStr">
        <is>
          <t>JÖNKÖPINGS LÄN</t>
        </is>
      </c>
      <c r="G199" t="inlineStr">
        <is>
          <t>NÄSSJÖ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45776</v>
      </c>
      <c r="E200" s="1" t="n">
        <v>46220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42708-2023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46220</v>
      </c>
      <c r="F201" t="inlineStr">
        <is>
          <t>JÖNKÖPINGS LÄN</t>
        </is>
      </c>
      <c r="G201" t="inlineStr">
        <is>
          <t>NÄSSJÖ</t>
        </is>
      </c>
      <c r="H201" t="inlineStr">
        <is>
          <t>Sveaskog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27719-2024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46220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23894-2025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45794</v>
      </c>
      <c r="E203" s="1" t="n">
        <v>46220</v>
      </c>
      <c r="F203" t="inlineStr">
        <is>
          <t>JÖNKÖPINGS LÄN</t>
        </is>
      </c>
      <c r="G203" t="inlineStr">
        <is>
          <t>NÄSSJÖ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57627-2021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44484</v>
      </c>
      <c r="E204" s="1" t="n">
        <v>46220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44763-2025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45917</v>
      </c>
      <c r="E205" s="1" t="n">
        <v>46220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43923-2023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45182</v>
      </c>
      <c r="E206" s="1" t="n">
        <v>46220</v>
      </c>
      <c r="F206" t="inlineStr">
        <is>
          <t>JÖNKÖPINGS LÄN</t>
        </is>
      </c>
      <c r="G206" t="inlineStr">
        <is>
          <t>NÄSSJÖ</t>
        </is>
      </c>
      <c r="H206" t="inlineStr">
        <is>
          <t>Övriga Aktiebolag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17097-2024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46220</v>
      </c>
      <c r="F207" t="inlineStr">
        <is>
          <t>JÖNKÖPINGS LÄN</t>
        </is>
      </c>
      <c r="G207" t="inlineStr">
        <is>
          <t>NÄSSJÖ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46220</v>
      </c>
      <c r="F208" t="inlineStr">
        <is>
          <t>JÖNKÖPINGS LÄN</t>
        </is>
      </c>
      <c r="G208" t="inlineStr">
        <is>
          <t>NÄSSJÖ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45677</v>
      </c>
      <c r="E209" s="1" t="n">
        <v>46220</v>
      </c>
      <c r="F209" t="inlineStr">
        <is>
          <t>JÖNKÖPINGS LÄN</t>
        </is>
      </c>
      <c r="G209" t="inlineStr">
        <is>
          <t>NÄSSJÖ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44360-2023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46220</v>
      </c>
      <c r="F210" t="inlineStr">
        <is>
          <t>JÖNKÖPINGS LÄN</t>
        </is>
      </c>
      <c r="G210" t="inlineStr">
        <is>
          <t>NÄSSJÖ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48968-2021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44453</v>
      </c>
      <c r="E211" s="1" t="n">
        <v>46220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33419-2025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46220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33422-2025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46220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45843</v>
      </c>
      <c r="E214" s="1" t="n">
        <v>46220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46220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33979-2025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46220</v>
      </c>
      <c r="F216" t="inlineStr">
        <is>
          <t>JÖNKÖPINGS LÄN</t>
        </is>
      </c>
      <c r="G216" t="inlineStr">
        <is>
          <t>NÄSSJÖ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15723-2025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46220</v>
      </c>
      <c r="F217" t="inlineStr">
        <is>
          <t>JÖNKÖPINGS LÄN</t>
        </is>
      </c>
      <c r="G217" t="inlineStr">
        <is>
          <t>NÄSSJÖ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23385-2025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46220</v>
      </c>
      <c r="F218" t="inlineStr">
        <is>
          <t>JÖNKÖPINGS LÄN</t>
        </is>
      </c>
      <c r="G218" t="inlineStr">
        <is>
          <t>NÄSSJÖ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15620-2024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45402</v>
      </c>
      <c r="E219" s="1" t="n">
        <v>46220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22164-2024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46220</v>
      </c>
      <c r="F220" t="inlineStr">
        <is>
          <t>JÖNKÖPINGS LÄN</t>
        </is>
      </c>
      <c r="G220" t="inlineStr">
        <is>
          <t>NÄSSJÖ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18331-2023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46220</v>
      </c>
      <c r="F221" t="inlineStr">
        <is>
          <t>JÖNKÖPINGS LÄN</t>
        </is>
      </c>
      <c r="G221" t="inlineStr">
        <is>
          <t>NÄSSJÖ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9943-2025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46220</v>
      </c>
      <c r="F222" t="inlineStr">
        <is>
          <t>JÖNKÖPINGS LÄN</t>
        </is>
      </c>
      <c r="G222" t="inlineStr">
        <is>
          <t>NÄSSJÖ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46220</v>
      </c>
      <c r="F223" t="inlineStr">
        <is>
          <t>JÖNKÖPINGS LÄN</t>
        </is>
      </c>
      <c r="G223" t="inlineStr">
        <is>
          <t>NÄSSJÖ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36943-2023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46220</v>
      </c>
      <c r="F224" t="inlineStr">
        <is>
          <t>JÖNKÖPINGS LÄN</t>
        </is>
      </c>
      <c r="G224" t="inlineStr">
        <is>
          <t>NÄSSJÖ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10500-2025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46220</v>
      </c>
      <c r="F225" t="inlineStr">
        <is>
          <t>JÖNKÖPINGS LÄN</t>
        </is>
      </c>
      <c r="G225" t="inlineStr">
        <is>
          <t>NÄSSJÖ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19186-2023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45046</v>
      </c>
      <c r="E226" s="1" t="n">
        <v>46220</v>
      </c>
      <c r="F226" t="inlineStr">
        <is>
          <t>JÖNKÖPINGS LÄN</t>
        </is>
      </c>
      <c r="G226" t="inlineStr">
        <is>
          <t>NÄSSJÖ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44699</v>
      </c>
      <c r="E227" s="1" t="n">
        <v>46220</v>
      </c>
      <c r="F227" t="inlineStr">
        <is>
          <t>JÖNKÖPINGS LÄN</t>
        </is>
      </c>
      <c r="G227" t="inlineStr">
        <is>
          <t>NÄSSJÖ</t>
        </is>
      </c>
      <c r="I227" t="n">
        <v>11.3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12593-2025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45732</v>
      </c>
      <c r="E228" s="1" t="n">
        <v>46220</v>
      </c>
      <c r="F228" t="inlineStr">
        <is>
          <t>JÖNKÖPINGS LÄN</t>
        </is>
      </c>
      <c r="G228" t="inlineStr">
        <is>
          <t>NÄSSJÖ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46220</v>
      </c>
      <c r="F229" t="inlineStr">
        <is>
          <t>JÖNKÖPINGS LÄN</t>
        </is>
      </c>
      <c r="G229" t="inlineStr">
        <is>
          <t>NÄSSJÖ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49972-2025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45942</v>
      </c>
      <c r="E230" s="1" t="n">
        <v>46220</v>
      </c>
      <c r="F230" t="inlineStr">
        <is>
          <t>JÖNKÖPINGS LÄN</t>
        </is>
      </c>
      <c r="G230" t="inlineStr">
        <is>
          <t>NÄSSJÖ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50219-2025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45943</v>
      </c>
      <c r="E231" s="1" t="n">
        <v>46220</v>
      </c>
      <c r="F231" t="inlineStr">
        <is>
          <t>JÖNKÖPINGS LÄN</t>
        </is>
      </c>
      <c r="G231" t="inlineStr">
        <is>
          <t>NÄSSJÖ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50220-2025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46220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46220</v>
      </c>
      <c r="F233" t="inlineStr">
        <is>
          <t>JÖNKÖPINGS LÄN</t>
        </is>
      </c>
      <c r="G233" t="inlineStr">
        <is>
          <t>NÄSSJÖ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49666-2023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46220</v>
      </c>
      <c r="F234" t="inlineStr">
        <is>
          <t>JÖNKÖPINGS LÄN</t>
        </is>
      </c>
      <c r="G234" t="inlineStr">
        <is>
          <t>NÄSSJÖ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37847-2025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45881</v>
      </c>
      <c r="E235" s="1" t="n">
        <v>46220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37870-2025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46220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37844-2025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46220</v>
      </c>
      <c r="F237" t="inlineStr">
        <is>
          <t>JÖNKÖPINGS LÄN</t>
        </is>
      </c>
      <c r="G237" t="inlineStr">
        <is>
          <t>NÄSSJÖ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37767-2025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46220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46220</v>
      </c>
      <c r="F239" t="inlineStr">
        <is>
          <t>JÖNKÖPINGS LÄN</t>
        </is>
      </c>
      <c r="G239" t="inlineStr">
        <is>
          <t>NÄSSJÖ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50439-2025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45944</v>
      </c>
      <c r="E240" s="1" t="n">
        <v>46220</v>
      </c>
      <c r="F240" t="inlineStr">
        <is>
          <t>JÖNKÖPINGS LÄN</t>
        </is>
      </c>
      <c r="G240" t="inlineStr">
        <is>
          <t>NÄSSJÖ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14786-2025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46220</v>
      </c>
      <c r="F241" t="inlineStr">
        <is>
          <t>JÖNKÖPINGS LÄN</t>
        </is>
      </c>
      <c r="G241" t="inlineStr">
        <is>
          <t>NÄSSJÖ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33409-2025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46220</v>
      </c>
      <c r="F242" t="inlineStr">
        <is>
          <t>JÖNKÖPINGS LÄN</t>
        </is>
      </c>
      <c r="G242" t="inlineStr">
        <is>
          <t>NÄSSJÖ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46220</v>
      </c>
      <c r="F243" t="inlineStr">
        <is>
          <t>JÖNKÖPINGS LÄN</t>
        </is>
      </c>
      <c r="G243" t="inlineStr">
        <is>
          <t>NÄSSJÖ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29947-2024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46220</v>
      </c>
      <c r="F244" t="inlineStr">
        <is>
          <t>JÖNKÖPINGS LÄN</t>
        </is>
      </c>
      <c r="G244" t="inlineStr">
        <is>
          <t>NÄSSJÖ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51863-2025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46220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46220</v>
      </c>
      <c r="F246" t="inlineStr">
        <is>
          <t>JÖNKÖPINGS LÄN</t>
        </is>
      </c>
      <c r="G246" t="inlineStr">
        <is>
          <t>NÄSSJÖ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46220</v>
      </c>
      <c r="F247" t="inlineStr">
        <is>
          <t>JÖNKÖPINGS LÄN</t>
        </is>
      </c>
      <c r="G247" t="inlineStr">
        <is>
          <t>NÄSSJÖ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46220</v>
      </c>
      <c r="F248" t="inlineStr">
        <is>
          <t>JÖNKÖPINGS LÄN</t>
        </is>
      </c>
      <c r="G248" t="inlineStr">
        <is>
          <t>NÄSSJÖ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46049</v>
      </c>
      <c r="E249" s="1" t="n">
        <v>46220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46220</v>
      </c>
      <c r="F250" t="inlineStr">
        <is>
          <t>JÖNKÖPINGS LÄN</t>
        </is>
      </c>
      <c r="G250" t="inlineStr">
        <is>
          <t>NÄSSJÖ</t>
        </is>
      </c>
      <c r="I250" t="n">
        <v>13.7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44928</v>
      </c>
      <c r="E251" s="1" t="n">
        <v>46220</v>
      </c>
      <c r="F251" t="inlineStr">
        <is>
          <t>JÖNKÖPINGS LÄN</t>
        </is>
      </c>
      <c r="G251" t="inlineStr">
        <is>
          <t>NÄSSJÖ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12575-2025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45732</v>
      </c>
      <c r="E252" s="1" t="n">
        <v>46220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59348-2022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46220</v>
      </c>
      <c r="F253" t="inlineStr">
        <is>
          <t>JÖNKÖPINGS LÄN</t>
        </is>
      </c>
      <c r="G253" t="inlineStr">
        <is>
          <t>NÄSSJÖ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57918-2021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44487</v>
      </c>
      <c r="E254" s="1" t="n">
        <v>46220</v>
      </c>
      <c r="F254" t="inlineStr">
        <is>
          <t>JÖNKÖPINGS LÄN</t>
        </is>
      </c>
      <c r="G254" t="inlineStr">
        <is>
          <t>NÄSSJÖ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5647-2026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46220</v>
      </c>
      <c r="F255" t="inlineStr">
        <is>
          <t>JÖNKÖPINGS LÄN</t>
        </is>
      </c>
      <c r="G255" t="inlineStr">
        <is>
          <t>NÄSSJÖ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6406-2026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46220</v>
      </c>
      <c r="F256" t="inlineStr">
        <is>
          <t>JÖNKÖPINGS LÄN</t>
        </is>
      </c>
      <c r="G256" t="inlineStr">
        <is>
          <t>NÄSSJÖ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46051</v>
      </c>
      <c r="E257" s="1" t="n">
        <v>46220</v>
      </c>
      <c r="F257" t="inlineStr">
        <is>
          <t>JÖNKÖPINGS LÄN</t>
        </is>
      </c>
      <c r="G257" t="inlineStr">
        <is>
          <t>NÄSSJÖ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46220</v>
      </c>
      <c r="F258" t="inlineStr">
        <is>
          <t>JÖNKÖPINGS LÄN</t>
        </is>
      </c>
      <c r="G258" t="inlineStr">
        <is>
          <t>NÄSSJÖ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46220</v>
      </c>
      <c r="F259" t="inlineStr">
        <is>
          <t>JÖNKÖPINGS LÄN</t>
        </is>
      </c>
      <c r="G259" t="inlineStr">
        <is>
          <t>NÄSSJÖ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46220</v>
      </c>
      <c r="F260" t="inlineStr">
        <is>
          <t>JÖNKÖPINGS LÄN</t>
        </is>
      </c>
      <c r="G260" t="inlineStr">
        <is>
          <t>NÄSSJÖ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45322</v>
      </c>
      <c r="E261" s="1" t="n">
        <v>46220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46220</v>
      </c>
      <c r="F262" t="inlineStr">
        <is>
          <t>JÖNKÖPINGS LÄN</t>
        </is>
      </c>
      <c r="G262" t="inlineStr">
        <is>
          <t>NÄSSJÖ</t>
        </is>
      </c>
      <c r="H262" t="inlineStr">
        <is>
          <t>Övriga Aktiebolag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56586-2025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46220</v>
      </c>
      <c r="F263" t="inlineStr">
        <is>
          <t>JÖNKÖPINGS LÄN</t>
        </is>
      </c>
      <c r="G263" t="inlineStr">
        <is>
          <t>NÄSSJÖ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  <c r="X263">
        <f>HYPERLINK("https://klasma.github.io/Logging_0682/knärot/A 56586-2025 karta knärot.png", "A 56586-2025")</f>
        <v/>
      </c>
      <c r="Y263">
        <f>HYPERLINK("https://klasma.github.io/Logging_0682/klagomål/A 56586-2025 FSC-klagomål.docx", "A 56586-2025")</f>
        <v/>
      </c>
      <c r="Z263">
        <f>HYPERLINK("https://klasma.github.io/Logging_0682/klagomålsmail/A 56586-2025 FSC-klagomål mail.docx", "A 56586-2025")</f>
        <v/>
      </c>
      <c r="AA263">
        <f>HYPERLINK("https://klasma.github.io/Logging_0682/tillsyn/A 56586-2025 tillsynsbegäran.docx", "A 56586-2025")</f>
        <v/>
      </c>
      <c r="AB263">
        <f>HYPERLINK("https://klasma.github.io/Logging_0682/tillsynsmail/A 56586-2025 tillsynsbegäran mail.docx", "A 56586-2025")</f>
        <v/>
      </c>
    </row>
    <row r="264" ht="15" customHeight="1">
      <c r="A264" t="inlineStr">
        <is>
          <t>A 49661-2023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46220</v>
      </c>
      <c r="F264" t="inlineStr">
        <is>
          <t>JÖNKÖPINGS LÄN</t>
        </is>
      </c>
      <c r="G264" t="inlineStr">
        <is>
          <t>NÄSSJÖ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7553-2026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46220</v>
      </c>
      <c r="F265" t="inlineStr">
        <is>
          <t>JÖNKÖPINGS LÄN</t>
        </is>
      </c>
      <c r="G265" t="inlineStr">
        <is>
          <t>NÄSSJÖ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17942-2025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45760</v>
      </c>
      <c r="E266" s="1" t="n">
        <v>46220</v>
      </c>
      <c r="F266" t="inlineStr">
        <is>
          <t>JÖNKÖPINGS LÄN</t>
        </is>
      </c>
      <c r="G266" t="inlineStr">
        <is>
          <t>NÄSSJÖ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58236-2023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46220</v>
      </c>
      <c r="F267" t="inlineStr">
        <is>
          <t>JÖNKÖPINGS LÄN</t>
        </is>
      </c>
      <c r="G267" t="inlineStr">
        <is>
          <t>NÄSSJÖ</t>
        </is>
      </c>
      <c r="H267" t="inlineStr">
        <is>
          <t>Kommuner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23623-2023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46220</v>
      </c>
      <c r="F268" t="inlineStr">
        <is>
          <t>JÖNKÖPINGS LÄN</t>
        </is>
      </c>
      <c r="G268" t="inlineStr">
        <is>
          <t>NÄSSJÖ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46220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7086-2024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46220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8212-2022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46220</v>
      </c>
      <c r="F271" t="inlineStr">
        <is>
          <t>JÖNKÖPINGS LÄN</t>
        </is>
      </c>
      <c r="G271" t="inlineStr">
        <is>
          <t>NÄSSJÖ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7554-2026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46220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57550-2025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46220</v>
      </c>
      <c r="F273" t="inlineStr">
        <is>
          <t>JÖNKÖPINGS LÄN</t>
        </is>
      </c>
      <c r="G273" t="inlineStr">
        <is>
          <t>NÄSSJÖ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24577-2023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45083</v>
      </c>
      <c r="E274" s="1" t="n">
        <v>46220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45573</v>
      </c>
      <c r="E275" s="1" t="n">
        <v>46220</v>
      </c>
      <c r="F275" t="inlineStr">
        <is>
          <t>JÖNKÖPINGS LÄN</t>
        </is>
      </c>
      <c r="G275" t="inlineStr">
        <is>
          <t>NÄSSJÖ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46220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24501-2024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45460</v>
      </c>
      <c r="E277" s="1" t="n">
        <v>46220</v>
      </c>
      <c r="F277" t="inlineStr">
        <is>
          <t>JÖNKÖPINGS LÄN</t>
        </is>
      </c>
      <c r="G277" t="inlineStr">
        <is>
          <t>NÄSSJÖ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52241-2022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44873</v>
      </c>
      <c r="E278" s="1" t="n">
        <v>46220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11020-2024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46220</v>
      </c>
      <c r="F279" t="inlineStr">
        <is>
          <t>JÖNKÖPINGS LÄN</t>
        </is>
      </c>
      <c r="G279" t="inlineStr">
        <is>
          <t>NÄSSJÖ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7591-2026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46061</v>
      </c>
      <c r="E280" s="1" t="n">
        <v>46220</v>
      </c>
      <c r="F280" t="inlineStr">
        <is>
          <t>JÖNKÖPINGS LÄN</t>
        </is>
      </c>
      <c r="G280" t="inlineStr">
        <is>
          <t>NÄSSJÖ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44594</v>
      </c>
      <c r="E281" s="1" t="n">
        <v>46220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17391-2025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45757</v>
      </c>
      <c r="E282" s="1" t="n">
        <v>46220</v>
      </c>
      <c r="F282" t="inlineStr">
        <is>
          <t>JÖNKÖPINGS LÄN</t>
        </is>
      </c>
      <c r="G282" t="inlineStr">
        <is>
          <t>NÄSSJÖ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45083</v>
      </c>
      <c r="E283" s="1" t="n">
        <v>46220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9451-2024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46220</v>
      </c>
      <c r="F284" t="inlineStr">
        <is>
          <t>JÖNKÖPINGS LÄN</t>
        </is>
      </c>
      <c r="G284" t="inlineStr">
        <is>
          <t>NÄSSJÖ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50195-2023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46220</v>
      </c>
      <c r="F285" t="inlineStr">
        <is>
          <t>JÖNKÖPINGS LÄN</t>
        </is>
      </c>
      <c r="G285" t="inlineStr">
        <is>
          <t>NÄSSJÖ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10387-2024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46220</v>
      </c>
      <c r="F286" t="inlineStr">
        <is>
          <t>JÖNKÖPINGS LÄN</t>
        </is>
      </c>
      <c r="G286" t="inlineStr">
        <is>
          <t>NÄSSJÖ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10408-2024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46220</v>
      </c>
      <c r="F287" t="inlineStr">
        <is>
          <t>JÖNKÖPINGS LÄN</t>
        </is>
      </c>
      <c r="G287" t="inlineStr">
        <is>
          <t>NÄSSJÖ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3169-2023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44946</v>
      </c>
      <c r="E288" s="1" t="n">
        <v>46220</v>
      </c>
      <c r="F288" t="inlineStr">
        <is>
          <t>JÖNKÖPINGS LÄN</t>
        </is>
      </c>
      <c r="G288" t="inlineStr">
        <is>
          <t>NÄSSJÖ</t>
        </is>
      </c>
      <c r="I288" t="n">
        <v>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45335</v>
      </c>
      <c r="E289" s="1" t="n">
        <v>46220</v>
      </c>
      <c r="F289" t="inlineStr">
        <is>
          <t>JÖNKÖPINGS LÄN</t>
        </is>
      </c>
      <c r="G289" t="inlineStr">
        <is>
          <t>NÄSSJÖ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44956</v>
      </c>
      <c r="E290" s="1" t="n">
        <v>46220</v>
      </c>
      <c r="F290" t="inlineStr">
        <is>
          <t>JÖNKÖPINGS LÄN</t>
        </is>
      </c>
      <c r="G290" t="inlineStr">
        <is>
          <t>NÄSSJÖ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57988-2024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46220</v>
      </c>
      <c r="F291" t="inlineStr">
        <is>
          <t>JÖNKÖPINGS LÄN</t>
        </is>
      </c>
      <c r="G291" t="inlineStr">
        <is>
          <t>NÄSSJÖ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29403-2023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46220</v>
      </c>
      <c r="F292" t="inlineStr">
        <is>
          <t>JÖNKÖPINGS LÄN</t>
        </is>
      </c>
      <c r="G292" t="inlineStr">
        <is>
          <t>NÄSSJÖ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17038-2024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45412</v>
      </c>
      <c r="E293" s="1" t="n">
        <v>46220</v>
      </c>
      <c r="F293" t="inlineStr">
        <is>
          <t>JÖNKÖPINGS LÄN</t>
        </is>
      </c>
      <c r="G293" t="inlineStr">
        <is>
          <t>NÄSSJÖ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46220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60534-2025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46220</v>
      </c>
      <c r="F295" t="inlineStr">
        <is>
          <t>JÖNKÖPINGS LÄN</t>
        </is>
      </c>
      <c r="G295" t="inlineStr">
        <is>
          <t>NÄSSJÖ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50488-2024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45601</v>
      </c>
      <c r="E296" s="1" t="n">
        <v>46220</v>
      </c>
      <c r="F296" t="inlineStr">
        <is>
          <t>JÖNKÖPINGS LÄN</t>
        </is>
      </c>
      <c r="G296" t="inlineStr">
        <is>
          <t>NÄSSJÖ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60535-2025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45995</v>
      </c>
      <c r="E297" s="1" t="n">
        <v>46220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39197-2023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46220</v>
      </c>
      <c r="F298" t="inlineStr">
        <is>
          <t>JÖNKÖPINGS LÄN</t>
        </is>
      </c>
      <c r="G298" t="inlineStr">
        <is>
          <t>NÄSSJÖ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60907-2025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46220</v>
      </c>
      <c r="F299" t="inlineStr">
        <is>
          <t>JÖNKÖPINGS LÄN</t>
        </is>
      </c>
      <c r="G299" t="inlineStr">
        <is>
          <t>NÄSSJÖ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61302-2025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46220</v>
      </c>
      <c r="F300" t="inlineStr">
        <is>
          <t>JÖNKÖPINGS LÄN</t>
        </is>
      </c>
      <c r="G300" t="inlineStr">
        <is>
          <t>NÄSSJÖ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61304-2025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46220</v>
      </c>
      <c r="F301" t="inlineStr">
        <is>
          <t>JÖNKÖPINGS LÄN</t>
        </is>
      </c>
      <c r="G301" t="inlineStr">
        <is>
          <t>NÄSSJÖ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9279-2023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46220</v>
      </c>
      <c r="F302" t="inlineStr">
        <is>
          <t>JÖNKÖPINGS LÄN</t>
        </is>
      </c>
      <c r="G302" t="inlineStr">
        <is>
          <t>NÄSSJÖ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61300-2025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46220</v>
      </c>
      <c r="F303" t="inlineStr">
        <is>
          <t>JÖNKÖPINGS LÄN</t>
        </is>
      </c>
      <c r="G303" t="inlineStr">
        <is>
          <t>NÄSSJÖ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9622-2024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45361</v>
      </c>
      <c r="E304" s="1" t="n">
        <v>46220</v>
      </c>
      <c r="F304" t="inlineStr">
        <is>
          <t>JÖNKÖPINGS LÄN</t>
        </is>
      </c>
      <c r="G304" t="inlineStr">
        <is>
          <t>NÄSSJÖ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71606-2021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44541</v>
      </c>
      <c r="E305" s="1" t="n">
        <v>46220</v>
      </c>
      <c r="F305" t="inlineStr">
        <is>
          <t>JÖNKÖPINGS LÄN</t>
        </is>
      </c>
      <c r="G305" t="inlineStr">
        <is>
          <t>NÄSSJÖ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50812-2022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46220</v>
      </c>
      <c r="F306" t="inlineStr">
        <is>
          <t>JÖNKÖPINGS LÄN</t>
        </is>
      </c>
      <c r="G306" t="inlineStr">
        <is>
          <t>NÄSSJÖ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52250-2022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44873</v>
      </c>
      <c r="E307" s="1" t="n">
        <v>46220</v>
      </c>
      <c r="F307" t="inlineStr">
        <is>
          <t>JÖNKÖPINGS LÄN</t>
        </is>
      </c>
      <c r="G307" t="inlineStr">
        <is>
          <t>NÄSSJÖ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9647-2026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46070</v>
      </c>
      <c r="E308" s="1" t="n">
        <v>46220</v>
      </c>
      <c r="F308" t="inlineStr">
        <is>
          <t>JÖNKÖPINGS LÄN</t>
        </is>
      </c>
      <c r="G308" t="inlineStr">
        <is>
          <t>NÄSSJÖ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62611-2025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46220</v>
      </c>
      <c r="F309" t="inlineStr">
        <is>
          <t>JÖNKÖPINGS LÄN</t>
        </is>
      </c>
      <c r="G309" t="inlineStr">
        <is>
          <t>NÄSSJÖ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31679-2022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44776</v>
      </c>
      <c r="E310" s="1" t="n">
        <v>46220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46220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63741-2023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45277</v>
      </c>
      <c r="E312" s="1" t="n">
        <v>46220</v>
      </c>
      <c r="F312" t="inlineStr">
        <is>
          <t>JÖNKÖPINGS LÄN</t>
        </is>
      </c>
      <c r="G312" t="inlineStr">
        <is>
          <t>NÄSSJÖ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9595-2026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46220</v>
      </c>
      <c r="F313" t="inlineStr">
        <is>
          <t>JÖNKÖPINGS LÄN</t>
        </is>
      </c>
      <c r="G313" t="inlineStr">
        <is>
          <t>NÄSSJÖ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9596-2026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46220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14787-2025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46220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10109-2026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46074</v>
      </c>
      <c r="E316" s="1" t="n">
        <v>46220</v>
      </c>
      <c r="F316" t="inlineStr">
        <is>
          <t>JÖNKÖPINGS LÄN</t>
        </is>
      </c>
      <c r="G316" t="inlineStr">
        <is>
          <t>NÄSSJÖ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22783-2024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46220</v>
      </c>
      <c r="F317" t="inlineStr">
        <is>
          <t>JÖNKÖPINGS LÄN</t>
        </is>
      </c>
      <c r="G317" t="inlineStr">
        <is>
          <t>NÄSSJÖ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46220</v>
      </c>
      <c r="F318" t="inlineStr">
        <is>
          <t>JÖNKÖPINGS LÄN</t>
        </is>
      </c>
      <c r="G318" t="inlineStr">
        <is>
          <t>NÄSSJÖ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46220</v>
      </c>
      <c r="F319" t="inlineStr">
        <is>
          <t>JÖNKÖPINGS LÄN</t>
        </is>
      </c>
      <c r="G319" t="inlineStr">
        <is>
          <t>NÄSSJÖ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41319-2022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46220</v>
      </c>
      <c r="F320" t="inlineStr">
        <is>
          <t>JÖNKÖPINGS LÄN</t>
        </is>
      </c>
      <c r="G320" t="inlineStr">
        <is>
          <t>NÄSSJÖ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41324-2022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46220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45702</v>
      </c>
      <c r="E322" s="1" t="n">
        <v>46220</v>
      </c>
      <c r="F322" t="inlineStr">
        <is>
          <t>JÖNKÖPINGS LÄN</t>
        </is>
      </c>
      <c r="G322" t="inlineStr">
        <is>
          <t>NÄSSJÖ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11117-2026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46220</v>
      </c>
      <c r="F323" t="inlineStr">
        <is>
          <t>JÖNKÖPINGS LÄN</t>
        </is>
      </c>
      <c r="G323" t="inlineStr">
        <is>
          <t>NÄSSJÖ</t>
        </is>
      </c>
      <c r="H323" t="inlineStr">
        <is>
          <t>Kyrkan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46220</v>
      </c>
      <c r="F324" t="inlineStr">
        <is>
          <t>JÖNKÖPINGS LÄN</t>
        </is>
      </c>
      <c r="G324" t="inlineStr">
        <is>
          <t>NÄSSJÖ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49665-2023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46220</v>
      </c>
      <c r="F325" t="inlineStr">
        <is>
          <t>JÖNKÖPINGS LÄN</t>
        </is>
      </c>
      <c r="G325" t="inlineStr">
        <is>
          <t>NÄSSJÖ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9962-2024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46220</v>
      </c>
      <c r="F326" t="inlineStr">
        <is>
          <t>JÖNKÖPINGS LÄN</t>
        </is>
      </c>
      <c r="G326" t="inlineStr">
        <is>
          <t>NÄSSJÖ</t>
        </is>
      </c>
      <c r="H326" t="inlineStr">
        <is>
          <t>Kommuner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14018-2023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46220</v>
      </c>
      <c r="F327" t="inlineStr">
        <is>
          <t>JÖNKÖPINGS LÄN</t>
        </is>
      </c>
      <c r="G327" t="inlineStr">
        <is>
          <t>NÄSSJÖ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12564-2026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46220</v>
      </c>
      <c r="F328" t="inlineStr">
        <is>
          <t>JÖNKÖPINGS LÄN</t>
        </is>
      </c>
      <c r="G328" t="inlineStr">
        <is>
          <t>NÄSSJÖ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13912-2024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45391</v>
      </c>
      <c r="E329" s="1" t="n">
        <v>46220</v>
      </c>
      <c r="F329" t="inlineStr">
        <is>
          <t>JÖNKÖPINGS LÄN</t>
        </is>
      </c>
      <c r="G329" t="inlineStr">
        <is>
          <t>NÄSSJÖ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13914-2024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45391</v>
      </c>
      <c r="E330" s="1" t="n">
        <v>46220</v>
      </c>
      <c r="F330" t="inlineStr">
        <is>
          <t>JÖNKÖPINGS LÄN</t>
        </is>
      </c>
      <c r="G330" t="inlineStr">
        <is>
          <t>NÄSSJÖ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46220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33533-2023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45118</v>
      </c>
      <c r="E332" s="1" t="n">
        <v>46220</v>
      </c>
      <c r="F332" t="inlineStr">
        <is>
          <t>JÖNKÖPINGS LÄN</t>
        </is>
      </c>
      <c r="G332" t="inlineStr">
        <is>
          <t>NÄSSJÖ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44928</v>
      </c>
      <c r="E333" s="1" t="n">
        <v>46220</v>
      </c>
      <c r="F333" t="inlineStr">
        <is>
          <t>JÖNKÖPINGS LÄN</t>
        </is>
      </c>
      <c r="G333" t="inlineStr">
        <is>
          <t>NÄSSJÖ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64057-2023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46220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44151-2023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46220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12652-2026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46091</v>
      </c>
      <c r="E336" s="1" t="n">
        <v>46220</v>
      </c>
      <c r="F336" t="inlineStr">
        <is>
          <t>JÖNKÖPINGS LÄN</t>
        </is>
      </c>
      <c r="G336" t="inlineStr">
        <is>
          <t>NÄSSJÖ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12647-2026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46091</v>
      </c>
      <c r="E337" s="1" t="n">
        <v>46220</v>
      </c>
      <c r="F337" t="inlineStr">
        <is>
          <t>JÖNKÖPINGS LÄN</t>
        </is>
      </c>
      <c r="G337" t="inlineStr">
        <is>
          <t>NÄSSJÖ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36604-2022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46220</v>
      </c>
      <c r="F338" t="inlineStr">
        <is>
          <t>JÖNKÖPINGS LÄN</t>
        </is>
      </c>
      <c r="G338" t="inlineStr">
        <is>
          <t>NÄSSJÖ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56411-2024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45625</v>
      </c>
      <c r="E339" s="1" t="n">
        <v>46220</v>
      </c>
      <c r="F339" t="inlineStr">
        <is>
          <t>JÖNKÖPINGS LÄN</t>
        </is>
      </c>
      <c r="G339" t="inlineStr">
        <is>
          <t>NÄSSJÖ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13036-2026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46220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60838-2024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45644</v>
      </c>
      <c r="E341" s="1" t="n">
        <v>46220</v>
      </c>
      <c r="F341" t="inlineStr">
        <is>
          <t>JÖNKÖPINGS LÄN</t>
        </is>
      </c>
      <c r="G341" t="inlineStr">
        <is>
          <t>NÄSSJÖ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13037-2026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46220</v>
      </c>
      <c r="F342" t="inlineStr">
        <is>
          <t>JÖNKÖPINGS LÄN</t>
        </is>
      </c>
      <c r="G342" t="inlineStr">
        <is>
          <t>NÄSSJÖ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43239-2021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44432</v>
      </c>
      <c r="E343" s="1" t="n">
        <v>46220</v>
      </c>
      <c r="F343" t="inlineStr">
        <is>
          <t>JÖNKÖPINGS LÄN</t>
        </is>
      </c>
      <c r="G343" t="inlineStr">
        <is>
          <t>NÄSSJÖ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23570-2024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45454</v>
      </c>
      <c r="E344" s="1" t="n">
        <v>46220</v>
      </c>
      <c r="F344" t="inlineStr">
        <is>
          <t>JÖNKÖPINGS LÄN</t>
        </is>
      </c>
      <c r="G344" t="inlineStr">
        <is>
          <t>NÄSSJÖ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14016-2026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46220</v>
      </c>
      <c r="F345" t="inlineStr">
        <is>
          <t>JÖNKÖPINGS LÄN</t>
        </is>
      </c>
      <c r="G345" t="inlineStr">
        <is>
          <t>NÄSSJÖ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30659-2023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46220</v>
      </c>
      <c r="F346" t="inlineStr">
        <is>
          <t>JÖNKÖPINGS LÄN</t>
        </is>
      </c>
      <c r="G346" t="inlineStr">
        <is>
          <t>NÄSSJÖ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13852-2026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46220</v>
      </c>
      <c r="F347" t="inlineStr">
        <is>
          <t>JÖNKÖPINGS LÄN</t>
        </is>
      </c>
      <c r="G347" t="inlineStr">
        <is>
          <t>NÄSSJÖ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43695-2023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46220</v>
      </c>
      <c r="F348" t="inlineStr">
        <is>
          <t>JÖNKÖPINGS LÄN</t>
        </is>
      </c>
      <c r="G348" t="inlineStr">
        <is>
          <t>NÄSSJÖ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44956</v>
      </c>
      <c r="E349" s="1" t="n">
        <v>46220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49339-2022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44858</v>
      </c>
      <c r="E350" s="1" t="n">
        <v>46220</v>
      </c>
      <c r="F350" t="inlineStr">
        <is>
          <t>JÖNKÖPINGS LÄN</t>
        </is>
      </c>
      <c r="G350" t="inlineStr">
        <is>
          <t>NÄSSJÖ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24502-2024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45460</v>
      </c>
      <c r="E351" s="1" t="n">
        <v>46220</v>
      </c>
      <c r="F351" t="inlineStr">
        <is>
          <t>JÖNKÖPINGS LÄN</t>
        </is>
      </c>
      <c r="G351" t="inlineStr">
        <is>
          <t>NÄSSJÖ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14486-2026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46220</v>
      </c>
      <c r="F352" t="inlineStr">
        <is>
          <t>JÖNKÖPINGS LÄN</t>
        </is>
      </c>
      <c r="G352" t="inlineStr">
        <is>
          <t>NÄSSJÖ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14831-2026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46220</v>
      </c>
      <c r="F353" t="inlineStr">
        <is>
          <t>JÖNKÖPINGS LÄN</t>
        </is>
      </c>
      <c r="G353" t="inlineStr">
        <is>
          <t>NÄSSJÖ</t>
        </is>
      </c>
      <c r="H353" t="inlineStr">
        <is>
          <t>Kommuner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14721-2026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46101</v>
      </c>
      <c r="E354" s="1" t="n">
        <v>46220</v>
      </c>
      <c r="F354" t="inlineStr">
        <is>
          <t>JÖNKÖPINGS LÄN</t>
        </is>
      </c>
      <c r="G354" t="inlineStr">
        <is>
          <t>NÄSSJÖ</t>
        </is>
      </c>
      <c r="H354" t="inlineStr">
        <is>
          <t>Kommuner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14724-2026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46220</v>
      </c>
      <c r="F355" t="inlineStr">
        <is>
          <t>JÖNKÖPINGS LÄN</t>
        </is>
      </c>
      <c r="G355" t="inlineStr">
        <is>
          <t>NÄSSJÖ</t>
        </is>
      </c>
      <c r="H355" t="inlineStr">
        <is>
          <t>Kommuner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60429-2023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45259</v>
      </c>
      <c r="E356" s="1" t="n">
        <v>46220</v>
      </c>
      <c r="F356" t="inlineStr">
        <is>
          <t>JÖNKÖPINGS LÄN</t>
        </is>
      </c>
      <c r="G356" t="inlineStr">
        <is>
          <t>NÄSSJÖ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15171-2026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46220</v>
      </c>
      <c r="F357" t="inlineStr">
        <is>
          <t>JÖNKÖPINGS LÄN</t>
        </is>
      </c>
      <c r="G357" t="inlineStr">
        <is>
          <t>NÄSSJÖ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48890-2023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45209</v>
      </c>
      <c r="E358" s="1" t="n">
        <v>46220</v>
      </c>
      <c r="F358" t="inlineStr">
        <is>
          <t>JÖNKÖPINGS LÄN</t>
        </is>
      </c>
      <c r="G358" t="inlineStr">
        <is>
          <t>NÄSSJÖ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45320</v>
      </c>
      <c r="E359" s="1" t="n">
        <v>46220</v>
      </c>
      <c r="F359" t="inlineStr">
        <is>
          <t>JÖNKÖPINGS LÄN</t>
        </is>
      </c>
      <c r="G359" t="inlineStr">
        <is>
          <t>NÄSSJÖ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11480-2024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46220</v>
      </c>
      <c r="F360" t="inlineStr">
        <is>
          <t>JÖNKÖPINGS LÄN</t>
        </is>
      </c>
      <c r="G360" t="inlineStr">
        <is>
          <t>NÄSSJÖ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11489-2024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46220</v>
      </c>
      <c r="F361" t="inlineStr">
        <is>
          <t>JÖNKÖPINGS LÄN</t>
        </is>
      </c>
      <c r="G361" t="inlineStr">
        <is>
          <t>NÄSSJÖ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15172-2026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46220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43156-2024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46220</v>
      </c>
      <c r="F363" t="inlineStr">
        <is>
          <t>JÖNKÖPINGS LÄN</t>
        </is>
      </c>
      <c r="G363" t="inlineStr">
        <is>
          <t>NÄSSJÖ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15990-2026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46220</v>
      </c>
      <c r="F364" t="inlineStr">
        <is>
          <t>JÖNKÖPINGS LÄN</t>
        </is>
      </c>
      <c r="G364" t="inlineStr">
        <is>
          <t>NÄSSJÖ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7087-2024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46220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40927-2023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46220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42685-2024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46220</v>
      </c>
      <c r="F367" t="inlineStr">
        <is>
          <t>JÖNKÖPINGS LÄN</t>
        </is>
      </c>
      <c r="G367" t="inlineStr">
        <is>
          <t>NÄSSJÖ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43625-2023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46220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16413-2026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46111</v>
      </c>
      <c r="E369" s="1" t="n">
        <v>46220</v>
      </c>
      <c r="F369" t="inlineStr">
        <is>
          <t>JÖNKÖPINGS LÄN</t>
        </is>
      </c>
      <c r="G369" t="inlineStr">
        <is>
          <t>NÄSSJÖ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36945-2023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46220</v>
      </c>
      <c r="F370" t="inlineStr">
        <is>
          <t>JÖNKÖPINGS LÄN</t>
        </is>
      </c>
      <c r="G370" t="inlineStr">
        <is>
          <t>NÄSSJÖ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36950-2023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46220</v>
      </c>
      <c r="F371" t="inlineStr">
        <is>
          <t>JÖNKÖPINGS LÄN</t>
        </is>
      </c>
      <c r="G371" t="inlineStr">
        <is>
          <t>NÄSSJÖ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17945-2025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45760</v>
      </c>
      <c r="E372" s="1" t="n">
        <v>46220</v>
      </c>
      <c r="F372" t="inlineStr">
        <is>
          <t>JÖNKÖPINGS LÄN</t>
        </is>
      </c>
      <c r="G372" t="inlineStr">
        <is>
          <t>NÄSSJÖ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14117-2023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45009</v>
      </c>
      <c r="E373" s="1" t="n">
        <v>46220</v>
      </c>
      <c r="F373" t="inlineStr">
        <is>
          <t>JÖNKÖPINGS LÄN</t>
        </is>
      </c>
      <c r="G373" t="inlineStr">
        <is>
          <t>NÄSSJÖ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16749-2026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46220</v>
      </c>
      <c r="F374" t="inlineStr">
        <is>
          <t>JÖNKÖPINGS LÄN</t>
        </is>
      </c>
      <c r="G374" t="inlineStr">
        <is>
          <t>NÄSSJÖ</t>
        </is>
      </c>
      <c r="H374" t="inlineStr">
        <is>
          <t>Kommuner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17474-2026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46120</v>
      </c>
      <c r="E375" s="1" t="n">
        <v>46220</v>
      </c>
      <c r="F375" t="inlineStr">
        <is>
          <t>JÖNKÖPINGS LÄN</t>
        </is>
      </c>
      <c r="G375" t="inlineStr">
        <is>
          <t>NÄSSJÖ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17477-2026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46120</v>
      </c>
      <c r="E376" s="1" t="n">
        <v>46220</v>
      </c>
      <c r="F376" t="inlineStr">
        <is>
          <t>JÖNKÖPINGS LÄN</t>
        </is>
      </c>
      <c r="G376" t="inlineStr">
        <is>
          <t>NÄSSJÖ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17467-2026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46220</v>
      </c>
      <c r="F377" t="inlineStr">
        <is>
          <t>JÖNKÖPINGS LÄN</t>
        </is>
      </c>
      <c r="G377" t="inlineStr">
        <is>
          <t>NÄSSJÖ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15862-2022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44664</v>
      </c>
      <c r="E378" s="1" t="n">
        <v>46220</v>
      </c>
      <c r="F378" t="inlineStr">
        <is>
          <t>JÖNKÖPINGS LÄN</t>
        </is>
      </c>
      <c r="G378" t="inlineStr">
        <is>
          <t>NÄSSJÖ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57760-2024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45630</v>
      </c>
      <c r="E379" s="1" t="n">
        <v>46220</v>
      </c>
      <c r="F379" t="inlineStr">
        <is>
          <t>JÖNKÖPINGS LÄN</t>
        </is>
      </c>
      <c r="G379" t="inlineStr">
        <is>
          <t>NÄSSJÖ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64665-2023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45281</v>
      </c>
      <c r="E380" s="1" t="n">
        <v>46220</v>
      </c>
      <c r="F380" t="inlineStr">
        <is>
          <t>JÖNKÖPINGS LÄN</t>
        </is>
      </c>
      <c r="G380" t="inlineStr">
        <is>
          <t>NÄSSJÖ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26337-2023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45091</v>
      </c>
      <c r="E381" s="1" t="n">
        <v>46220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52718-2024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46220</v>
      </c>
      <c r="F382" t="inlineStr">
        <is>
          <t>JÖNKÖPINGS LÄN</t>
        </is>
      </c>
      <c r="G382" t="inlineStr">
        <is>
          <t>NÄSSJÖ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5801-2025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45694</v>
      </c>
      <c r="E383" s="1" t="n">
        <v>46220</v>
      </c>
      <c r="F383" t="inlineStr">
        <is>
          <t>JÖNKÖPINGS LÄN</t>
        </is>
      </c>
      <c r="G383" t="inlineStr">
        <is>
          <t>NÄSSJÖ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8986-2023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46220</v>
      </c>
      <c r="F384" t="inlineStr">
        <is>
          <t>JÖNKÖPINGS LÄN</t>
        </is>
      </c>
      <c r="G384" t="inlineStr">
        <is>
          <t>NÄSSJÖ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10332-2025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45720</v>
      </c>
      <c r="E385" s="1" t="n">
        <v>46220</v>
      </c>
      <c r="F385" t="inlineStr">
        <is>
          <t>JÖNKÖPINGS LÄN</t>
        </is>
      </c>
      <c r="G385" t="inlineStr">
        <is>
          <t>NÄSSJÖ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18609-2026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46220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18843-2026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46220</v>
      </c>
      <c r="F387" t="inlineStr">
        <is>
          <t>JÖNKÖPINGS LÄN</t>
        </is>
      </c>
      <c r="G387" t="inlineStr">
        <is>
          <t>NÄSSJÖ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50562-2023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46220</v>
      </c>
      <c r="F388" t="inlineStr">
        <is>
          <t>JÖNKÖPINGS LÄN</t>
        </is>
      </c>
      <c r="G388" t="inlineStr">
        <is>
          <t>NÄSSJÖ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48479-2022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44858</v>
      </c>
      <c r="E389" s="1" t="n">
        <v>46220</v>
      </c>
      <c r="F389" t="inlineStr">
        <is>
          <t>JÖNKÖPINGS LÄN</t>
        </is>
      </c>
      <c r="G389" t="inlineStr">
        <is>
          <t>NÄSSJÖ</t>
        </is>
      </c>
      <c r="H389" t="inlineStr">
        <is>
          <t>Kommuner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62583-2023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45270</v>
      </c>
      <c r="E390" s="1" t="n">
        <v>46220</v>
      </c>
      <c r="F390" t="inlineStr">
        <is>
          <t>JÖNKÖPINGS LÄN</t>
        </is>
      </c>
      <c r="G390" t="inlineStr">
        <is>
          <t>NÄSSJÖ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46220</v>
      </c>
      <c r="F391" t="inlineStr">
        <is>
          <t>JÖNKÖPINGS LÄN</t>
        </is>
      </c>
      <c r="G391" t="inlineStr">
        <is>
          <t>NÄSSJÖ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46135</v>
      </c>
      <c r="E392" s="1" t="n">
        <v>46220</v>
      </c>
      <c r="F392" t="inlineStr">
        <is>
          <t>JÖNKÖPINGS LÄN</t>
        </is>
      </c>
      <c r="G392" t="inlineStr">
        <is>
          <t>NÄSSJÖ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12031-2025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46220</v>
      </c>
      <c r="F393" t="inlineStr">
        <is>
          <t>JÖNKÖPINGS LÄN</t>
        </is>
      </c>
      <c r="G393" t="inlineStr">
        <is>
          <t>NÄSSJÖ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19768-2026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46135</v>
      </c>
      <c r="E394" s="1" t="n">
        <v>46220</v>
      </c>
      <c r="F394" t="inlineStr">
        <is>
          <t>JÖNKÖPINGS LÄN</t>
        </is>
      </c>
      <c r="G394" t="inlineStr">
        <is>
          <t>NÄSSJÖ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19776-2026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46220</v>
      </c>
      <c r="F395" t="inlineStr">
        <is>
          <t>JÖNKÖPINGS LÄN</t>
        </is>
      </c>
      <c r="G395" t="inlineStr">
        <is>
          <t>NÄSSJÖ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46061-2021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44442</v>
      </c>
      <c r="E396" s="1" t="n">
        <v>46220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47709-2023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45203</v>
      </c>
      <c r="E397" s="1" t="n">
        <v>46220</v>
      </c>
      <c r="F397" t="inlineStr">
        <is>
          <t>JÖNKÖPINGS LÄN</t>
        </is>
      </c>
      <c r="G397" t="inlineStr">
        <is>
          <t>NÄSSJÖ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63896-2025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46220</v>
      </c>
      <c r="F398" t="inlineStr">
        <is>
          <t>JÖNKÖPINGS LÄN</t>
        </is>
      </c>
      <c r="G398" t="inlineStr">
        <is>
          <t>NÄSSJÖ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3386-2025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45680</v>
      </c>
      <c r="E399" s="1" t="n">
        <v>46220</v>
      </c>
      <c r="F399" t="inlineStr">
        <is>
          <t>JÖNKÖPINGS LÄN</t>
        </is>
      </c>
      <c r="G399" t="inlineStr">
        <is>
          <t>NÄSSJÖ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12595-2024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45380</v>
      </c>
      <c r="E400" s="1" t="n">
        <v>46220</v>
      </c>
      <c r="F400" t="inlineStr">
        <is>
          <t>JÖNKÖPINGS LÄN</t>
        </is>
      </c>
      <c r="G400" t="inlineStr">
        <is>
          <t>NÄSSJÖ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28457-2023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46220</v>
      </c>
      <c r="F401" t="inlineStr">
        <is>
          <t>JÖNKÖPINGS LÄN</t>
        </is>
      </c>
      <c r="G401" t="inlineStr">
        <is>
          <t>NÄSSJÖ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51374-2024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45604</v>
      </c>
      <c r="E402" s="1" t="n">
        <v>46220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59888-2023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45257</v>
      </c>
      <c r="E403" s="1" t="n">
        <v>46220</v>
      </c>
      <c r="F403" t="inlineStr">
        <is>
          <t>JÖNKÖPINGS LÄN</t>
        </is>
      </c>
      <c r="G403" t="inlineStr">
        <is>
          <t>NÄSSJÖ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46220</v>
      </c>
      <c r="F404" t="inlineStr">
        <is>
          <t>JÖNKÖPINGS LÄN</t>
        </is>
      </c>
      <c r="G404" t="inlineStr">
        <is>
          <t>NÄSSJÖ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46220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45692</v>
      </c>
      <c r="E406" s="1" t="n">
        <v>46220</v>
      </c>
      <c r="F406" t="inlineStr">
        <is>
          <t>JÖNKÖPINGS LÄN</t>
        </is>
      </c>
      <c r="G406" t="inlineStr">
        <is>
          <t>NÄSSJÖ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5463-2025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45693</v>
      </c>
      <c r="E407" s="1" t="n">
        <v>46220</v>
      </c>
      <c r="F407" t="inlineStr">
        <is>
          <t>JÖNKÖPINGS LÄN</t>
        </is>
      </c>
      <c r="G407" t="inlineStr">
        <is>
          <t>NÄSSJÖ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39832-2023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46220</v>
      </c>
      <c r="F408" t="inlineStr">
        <is>
          <t>JÖNKÖPINGS LÄN</t>
        </is>
      </c>
      <c r="G408" t="inlineStr">
        <is>
          <t>NÄSSJÖ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57357-2025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46220</v>
      </c>
      <c r="F409" t="inlineStr">
        <is>
          <t>JÖNKÖPINGS LÄN</t>
        </is>
      </c>
      <c r="G409" t="inlineStr">
        <is>
          <t>NÄSSJÖ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50718-2021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44460</v>
      </c>
      <c r="E410" s="1" t="n">
        <v>46220</v>
      </c>
      <c r="F410" t="inlineStr">
        <is>
          <t>JÖNKÖPINGS LÄN</t>
        </is>
      </c>
      <c r="G410" t="inlineStr">
        <is>
          <t>NÄSSJÖ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39323-2025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45889</v>
      </c>
      <c r="E411" s="1" t="n">
        <v>46220</v>
      </c>
      <c r="F411" t="inlineStr">
        <is>
          <t>JÖNKÖPINGS LÄN</t>
        </is>
      </c>
      <c r="G411" t="inlineStr">
        <is>
          <t>NÄSSJÖ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15829-2024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45404</v>
      </c>
      <c r="E412" s="1" t="n">
        <v>46220</v>
      </c>
      <c r="F412" t="inlineStr">
        <is>
          <t>JÖNKÖPINGS LÄN</t>
        </is>
      </c>
      <c r="G412" t="inlineStr">
        <is>
          <t>NÄSSJÖ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50072-2023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45215</v>
      </c>
      <c r="E413" s="1" t="n">
        <v>46220</v>
      </c>
      <c r="F413" t="inlineStr">
        <is>
          <t>JÖNKÖPINGS LÄN</t>
        </is>
      </c>
      <c r="G413" t="inlineStr">
        <is>
          <t>NÄSSJÖ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60433-2023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45259</v>
      </c>
      <c r="E414" s="1" t="n">
        <v>46220</v>
      </c>
      <c r="F414" t="inlineStr">
        <is>
          <t>JÖNKÖPINGS LÄN</t>
        </is>
      </c>
      <c r="G414" t="inlineStr">
        <is>
          <t>NÄSSJÖ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29002-2025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45821</v>
      </c>
      <c r="E415" s="1" t="n">
        <v>46220</v>
      </c>
      <c r="F415" t="inlineStr">
        <is>
          <t>JÖNKÖPINGS LÄN</t>
        </is>
      </c>
      <c r="G415" t="inlineStr">
        <is>
          <t>NÄSSJÖ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38792-2025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45887</v>
      </c>
      <c r="E416" s="1" t="n">
        <v>46220</v>
      </c>
      <c r="F416" t="inlineStr">
        <is>
          <t>JÖNKÖPINGS LÄN</t>
        </is>
      </c>
      <c r="G416" t="inlineStr">
        <is>
          <t>NÄSSJÖ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44436-2025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46220</v>
      </c>
      <c r="F417" t="inlineStr">
        <is>
          <t>JÖNKÖPINGS LÄN</t>
        </is>
      </c>
      <c r="G417" t="inlineStr">
        <is>
          <t>NÄSSJÖ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45671</v>
      </c>
      <c r="E418" s="1" t="n">
        <v>46220</v>
      </c>
      <c r="F418" t="inlineStr">
        <is>
          <t>JÖNKÖPINGS LÄN</t>
        </is>
      </c>
      <c r="G418" t="inlineStr">
        <is>
          <t>NÄSSJÖ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22170-2023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46220</v>
      </c>
      <c r="F419" t="inlineStr">
        <is>
          <t>JÖNKÖPINGS LÄN</t>
        </is>
      </c>
      <c r="G419" t="inlineStr">
        <is>
          <t>NÄSSJÖ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62002-2023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45266</v>
      </c>
      <c r="E420" s="1" t="n">
        <v>46220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52605-2022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44874</v>
      </c>
      <c r="E421" s="1" t="n">
        <v>46220</v>
      </c>
      <c r="F421" t="inlineStr">
        <is>
          <t>JÖNKÖPINGS LÄN</t>
        </is>
      </c>
      <c r="G421" t="inlineStr">
        <is>
          <t>NÄSSJÖ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53636-2024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46220</v>
      </c>
      <c r="F422" t="inlineStr">
        <is>
          <t>JÖNKÖPINGS LÄN</t>
        </is>
      </c>
      <c r="G422" t="inlineStr">
        <is>
          <t>NÄSSJÖ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61465-2025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46220</v>
      </c>
      <c r="F423" t="inlineStr">
        <is>
          <t>JÖNKÖPINGS LÄN</t>
        </is>
      </c>
      <c r="G423" t="inlineStr">
        <is>
          <t>NÄSSJÖ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57758-2023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46220</v>
      </c>
      <c r="F424" t="inlineStr">
        <is>
          <t>JÖNKÖPINGS LÄN</t>
        </is>
      </c>
      <c r="G424" t="inlineStr">
        <is>
          <t>NÄSSJÖ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57678-2021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44484</v>
      </c>
      <c r="E425" s="1" t="n">
        <v>46220</v>
      </c>
      <c r="F425" t="inlineStr">
        <is>
          <t>JÖNKÖPINGS LÄN</t>
        </is>
      </c>
      <c r="G425" t="inlineStr">
        <is>
          <t>NÄSSJÖ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35967-2023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46220</v>
      </c>
      <c r="F426" t="inlineStr">
        <is>
          <t>JÖNKÖPINGS LÄN</t>
        </is>
      </c>
      <c r="G426" t="inlineStr">
        <is>
          <t>NÄSSJÖ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15819-2022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44664</v>
      </c>
      <c r="E427" s="1" t="n">
        <v>46220</v>
      </c>
      <c r="F427" t="inlineStr">
        <is>
          <t>JÖNKÖPINGS LÄN</t>
        </is>
      </c>
      <c r="G427" t="inlineStr">
        <is>
          <t>NÄSSJÖ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50552-2023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45210</v>
      </c>
      <c r="E428" s="1" t="n">
        <v>46220</v>
      </c>
      <c r="F428" t="inlineStr">
        <is>
          <t>JÖNKÖPINGS LÄN</t>
        </is>
      </c>
      <c r="G428" t="inlineStr">
        <is>
          <t>NÄSSJÖ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58541-2022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44902</v>
      </c>
      <c r="E429" s="1" t="n">
        <v>46220</v>
      </c>
      <c r="F429" t="inlineStr">
        <is>
          <t>JÖNKÖPINGS LÄN</t>
        </is>
      </c>
      <c r="G429" t="inlineStr">
        <is>
          <t>NÄSSJÖ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46220</v>
      </c>
      <c r="F430" t="inlineStr">
        <is>
          <t>JÖNKÖPINGS LÄN</t>
        </is>
      </c>
      <c r="G430" t="inlineStr">
        <is>
          <t>NÄSSJÖ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48465-2024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45590</v>
      </c>
      <c r="E431" s="1" t="n">
        <v>46220</v>
      </c>
      <c r="F431" t="inlineStr">
        <is>
          <t>JÖNKÖPINGS LÄN</t>
        </is>
      </c>
      <c r="G431" t="inlineStr">
        <is>
          <t>NÄSSJÖ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12720-2025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46220</v>
      </c>
      <c r="F432" t="inlineStr">
        <is>
          <t>JÖNKÖPINGS LÄN</t>
        </is>
      </c>
      <c r="G432" t="inlineStr">
        <is>
          <t>NÄSSJÖ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20606-2026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46140</v>
      </c>
      <c r="E433" s="1" t="n">
        <v>46220</v>
      </c>
      <c r="F433" t="inlineStr">
        <is>
          <t>JÖNKÖPINGS LÄN</t>
        </is>
      </c>
      <c r="G433" t="inlineStr">
        <is>
          <t>NÄSSJÖ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49440-2024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45595</v>
      </c>
      <c r="E434" s="1" t="n">
        <v>46220</v>
      </c>
      <c r="F434" t="inlineStr">
        <is>
          <t>JÖNKÖPINGS LÄN</t>
        </is>
      </c>
      <c r="G434" t="inlineStr">
        <is>
          <t>NÄSSJÖ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45694</v>
      </c>
      <c r="E435" s="1" t="n">
        <v>46220</v>
      </c>
      <c r="F435" t="inlineStr">
        <is>
          <t>JÖNKÖPINGS LÄN</t>
        </is>
      </c>
      <c r="G435" t="inlineStr">
        <is>
          <t>NÄSSJÖ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54694-2023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45236</v>
      </c>
      <c r="E436" s="1" t="n">
        <v>46220</v>
      </c>
      <c r="F436" t="inlineStr">
        <is>
          <t>JÖNKÖPINGS LÄN</t>
        </is>
      </c>
      <c r="G436" t="inlineStr">
        <is>
          <t>NÄSSJÖ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17830-2024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45419</v>
      </c>
      <c r="E437" s="1" t="n">
        <v>46220</v>
      </c>
      <c r="F437" t="inlineStr">
        <is>
          <t>JÖNKÖPINGS LÄN</t>
        </is>
      </c>
      <c r="G437" t="inlineStr">
        <is>
          <t>NÄSSJÖ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17319-2025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45756</v>
      </c>
      <c r="E438" s="1" t="n">
        <v>46220</v>
      </c>
      <c r="F438" t="inlineStr">
        <is>
          <t>JÖNKÖPINGS LÄN</t>
        </is>
      </c>
      <c r="G438" t="inlineStr">
        <is>
          <t>NÄSSJÖ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38658-2022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46220</v>
      </c>
      <c r="F439" t="inlineStr">
        <is>
          <t>JÖNKÖPINGS LÄN</t>
        </is>
      </c>
      <c r="G439" t="inlineStr">
        <is>
          <t>NÄSSJÖ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38783-2022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44816</v>
      </c>
      <c r="E440" s="1" t="n">
        <v>46220</v>
      </c>
      <c r="F440" t="inlineStr">
        <is>
          <t>JÖNKÖPINGS LÄN</t>
        </is>
      </c>
      <c r="G440" t="inlineStr">
        <is>
          <t>NÄSSJÖ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40955-2023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46220</v>
      </c>
      <c r="F441" t="inlineStr">
        <is>
          <t>JÖNKÖPINGS LÄN</t>
        </is>
      </c>
      <c r="G441" t="inlineStr">
        <is>
          <t>NÄSSJÖ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13096-2025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45734</v>
      </c>
      <c r="E442" s="1" t="n">
        <v>46220</v>
      </c>
      <c r="F442" t="inlineStr">
        <is>
          <t>JÖNKÖPINGS LÄN</t>
        </is>
      </c>
      <c r="G442" t="inlineStr">
        <is>
          <t>NÄSSJÖ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11358-2024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45372</v>
      </c>
      <c r="E443" s="1" t="n">
        <v>46220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11363-2024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46220</v>
      </c>
      <c r="F444" t="inlineStr">
        <is>
          <t>JÖNKÖPINGS LÄN</t>
        </is>
      </c>
      <c r="G444" t="inlineStr">
        <is>
          <t>NÄSSJÖ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11365-2024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46220</v>
      </c>
      <c r="F445" t="inlineStr">
        <is>
          <t>JÖNKÖPINGS LÄN</t>
        </is>
      </c>
      <c r="G445" t="inlineStr">
        <is>
          <t>NÄSSJÖ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50836-2021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44460</v>
      </c>
      <c r="E446" s="1" t="n">
        <v>46220</v>
      </c>
      <c r="F446" t="inlineStr">
        <is>
          <t>JÖNKÖPINGS LÄN</t>
        </is>
      </c>
      <c r="G446" t="inlineStr">
        <is>
          <t>NÄSSJÖ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34377-2023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45132</v>
      </c>
      <c r="E447" s="1" t="n">
        <v>46220</v>
      </c>
      <c r="F447" t="inlineStr">
        <is>
          <t>JÖNKÖPINGS LÄN</t>
        </is>
      </c>
      <c r="G447" t="inlineStr">
        <is>
          <t>NÄSSJÖ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38795-2022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46220</v>
      </c>
      <c r="F448" t="inlineStr">
        <is>
          <t>JÖNKÖPINGS LÄN</t>
        </is>
      </c>
      <c r="G448" t="inlineStr">
        <is>
          <t>NÄSSJÖ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7654-2023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44972</v>
      </c>
      <c r="E449" s="1" t="n">
        <v>46220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11917-2023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44994</v>
      </c>
      <c r="E450" s="1" t="n">
        <v>46220</v>
      </c>
      <c r="F450" t="inlineStr">
        <is>
          <t>JÖNKÖPINGS LÄN</t>
        </is>
      </c>
      <c r="G450" t="inlineStr">
        <is>
          <t>NÄSSJÖ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11716-2024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45373</v>
      </c>
      <c r="E451" s="1" t="n">
        <v>46220</v>
      </c>
      <c r="F451" t="inlineStr">
        <is>
          <t>JÖNKÖPINGS LÄN</t>
        </is>
      </c>
      <c r="G451" t="inlineStr">
        <is>
          <t>NÄSSJÖ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14486-2024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45394</v>
      </c>
      <c r="E452" s="1" t="n">
        <v>46220</v>
      </c>
      <c r="F452" t="inlineStr">
        <is>
          <t>JÖNKÖPINGS LÄN</t>
        </is>
      </c>
      <c r="G452" t="inlineStr">
        <is>
          <t>NÄSSJÖ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21184-2026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46220</v>
      </c>
      <c r="F453" t="inlineStr">
        <is>
          <t>JÖNKÖPINGS LÄN</t>
        </is>
      </c>
      <c r="G453" t="inlineStr">
        <is>
          <t>NÄSSJÖ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11523-2023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46220</v>
      </c>
      <c r="F454" t="inlineStr">
        <is>
          <t>JÖNKÖPINGS LÄN</t>
        </is>
      </c>
      <c r="G454" t="inlineStr">
        <is>
          <t>NÄSSJÖ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27081-2026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46187</v>
      </c>
      <c r="E455" s="1" t="n">
        <v>46220</v>
      </c>
      <c r="F455" t="inlineStr">
        <is>
          <t>JÖNKÖPINGS LÄN</t>
        </is>
      </c>
      <c r="G455" t="inlineStr">
        <is>
          <t>NÄSSJÖ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27082-2026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46187</v>
      </c>
      <c r="E456" s="1" t="n">
        <v>46220</v>
      </c>
      <c r="F456" t="inlineStr">
        <is>
          <t>JÖNKÖPINGS LÄN</t>
        </is>
      </c>
      <c r="G456" t="inlineStr">
        <is>
          <t>NÄSSJÖ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27083-2026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46187</v>
      </c>
      <c r="E457" s="1" t="n">
        <v>46220</v>
      </c>
      <c r="F457" t="inlineStr">
        <is>
          <t>JÖNKÖPINGS LÄN</t>
        </is>
      </c>
      <c r="G457" t="inlineStr">
        <is>
          <t>NÄSSJÖ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52669-2023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45219</v>
      </c>
      <c r="E458" s="1" t="n">
        <v>46220</v>
      </c>
      <c r="F458" t="inlineStr">
        <is>
          <t>JÖNKÖPINGS LÄN</t>
        </is>
      </c>
      <c r="G458" t="inlineStr">
        <is>
          <t>NÄSSJÖ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27536-2026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46220</v>
      </c>
      <c r="F459" t="inlineStr">
        <is>
          <t>JÖNKÖPINGS LÄN</t>
        </is>
      </c>
      <c r="G459" t="inlineStr">
        <is>
          <t>NÄSSJÖ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27537-2026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46220</v>
      </c>
      <c r="F460" t="inlineStr">
        <is>
          <t>JÖNKÖPINGS LÄN</t>
        </is>
      </c>
      <c r="G460" t="inlineStr">
        <is>
          <t>NÄSSJÖ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5970-2025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45695</v>
      </c>
      <c r="E461" s="1" t="n">
        <v>46220</v>
      </c>
      <c r="F461" t="inlineStr">
        <is>
          <t>JÖNKÖPINGS LÄN</t>
        </is>
      </c>
      <c r="G461" t="inlineStr">
        <is>
          <t>NÄSSJÖ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54514-2024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45617</v>
      </c>
      <c r="E462" s="1" t="n">
        <v>46220</v>
      </c>
      <c r="F462" t="inlineStr">
        <is>
          <t>JÖNKÖPINGS LÄN</t>
        </is>
      </c>
      <c r="G462" t="inlineStr">
        <is>
          <t>NÄSSJÖ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44564</v>
      </c>
      <c r="E463" s="1" t="n">
        <v>46220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10060-2023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44985</v>
      </c>
      <c r="E464" s="1" t="n">
        <v>46220</v>
      </c>
      <c r="F464" t="inlineStr">
        <is>
          <t>JÖNKÖPINGS LÄN</t>
        </is>
      </c>
      <c r="G464" t="inlineStr">
        <is>
          <t>NÄSSJÖ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11355-2024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46220</v>
      </c>
      <c r="F465" t="inlineStr">
        <is>
          <t>JÖNKÖPINGS LÄN</t>
        </is>
      </c>
      <c r="G465" t="inlineStr">
        <is>
          <t>NÄSSJÖ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11361-2024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46220</v>
      </c>
      <c r="F466" t="inlineStr">
        <is>
          <t>JÖNKÖPINGS LÄN</t>
        </is>
      </c>
      <c r="G466" t="inlineStr">
        <is>
          <t>NÄSSJÖ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54381-2024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45617</v>
      </c>
      <c r="E467" s="1" t="n">
        <v>46220</v>
      </c>
      <c r="F467" t="inlineStr">
        <is>
          <t>JÖNKÖPINGS LÄN</t>
        </is>
      </c>
      <c r="G467" t="inlineStr">
        <is>
          <t>NÄSSJÖ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44766-2023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46220</v>
      </c>
      <c r="F468" t="inlineStr">
        <is>
          <t>JÖNKÖPINGS LÄN</t>
        </is>
      </c>
      <c r="G468" t="inlineStr">
        <is>
          <t>NÄSSJÖ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9693-2022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44617</v>
      </c>
      <c r="E469" s="1" t="n">
        <v>46220</v>
      </c>
      <c r="F469" t="inlineStr">
        <is>
          <t>JÖNKÖPINGS LÄN</t>
        </is>
      </c>
      <c r="G469" t="inlineStr">
        <is>
          <t>NÄSSJÖ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39444-2023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45163</v>
      </c>
      <c r="E470" s="1" t="n">
        <v>46220</v>
      </c>
      <c r="F470" t="inlineStr">
        <is>
          <t>JÖNKÖPINGS LÄN</t>
        </is>
      </c>
      <c r="G470" t="inlineStr">
        <is>
          <t>NÄSSJÖ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14642-2025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45742</v>
      </c>
      <c r="E471" s="1" t="n">
        <v>46220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40131-2021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44418</v>
      </c>
      <c r="E472" s="1" t="n">
        <v>46220</v>
      </c>
      <c r="F472" t="inlineStr">
        <is>
          <t>JÖNKÖPINGS LÄN</t>
        </is>
      </c>
      <c r="G472" t="inlineStr">
        <is>
          <t>NÄSSJÖ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8989-2023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46220</v>
      </c>
      <c r="F473" t="inlineStr">
        <is>
          <t>JÖNKÖPINGS LÄN</t>
        </is>
      </c>
      <c r="G473" t="inlineStr">
        <is>
          <t>NÄSSJÖ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29990-2023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45109</v>
      </c>
      <c r="E474" s="1" t="n">
        <v>46220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28568-2026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46220</v>
      </c>
      <c r="F475" t="inlineStr">
        <is>
          <t>JÖNKÖPINGS LÄN</t>
        </is>
      </c>
      <c r="G475" t="inlineStr">
        <is>
          <t>NÄSSJÖ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14832-2023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46220</v>
      </c>
      <c r="F476" t="inlineStr">
        <is>
          <t>JÖNKÖPINGS LÄN</t>
        </is>
      </c>
      <c r="G476" t="inlineStr">
        <is>
          <t>NÄSSJÖ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10682-2023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44988</v>
      </c>
      <c r="E477" s="1" t="n">
        <v>46220</v>
      </c>
      <c r="F477" t="inlineStr">
        <is>
          <t>JÖNKÖPINGS LÄN</t>
        </is>
      </c>
      <c r="G477" t="inlineStr">
        <is>
          <t>NÄSSJÖ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59351-2022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46220</v>
      </c>
      <c r="F478" t="inlineStr">
        <is>
          <t>JÖNKÖPINGS LÄN</t>
        </is>
      </c>
      <c r="G478" t="inlineStr">
        <is>
          <t>NÄSSJÖ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56869-2022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44894</v>
      </c>
      <c r="E479" s="1" t="n">
        <v>46220</v>
      </c>
      <c r="F479" t="inlineStr">
        <is>
          <t>JÖNKÖPINGS LÄN</t>
        </is>
      </c>
      <c r="G479" t="inlineStr">
        <is>
          <t>NÄSSJÖ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45695</v>
      </c>
      <c r="E480" s="1" t="n">
        <v>46220</v>
      </c>
      <c r="F480" t="inlineStr">
        <is>
          <t>JÖNKÖPINGS LÄN</t>
        </is>
      </c>
      <c r="G480" t="inlineStr">
        <is>
          <t>NÄSSJÖ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28254-2026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46220</v>
      </c>
      <c r="F481" t="inlineStr">
        <is>
          <t>JÖNKÖPINGS LÄN</t>
        </is>
      </c>
      <c r="G481" t="inlineStr">
        <is>
          <t>NÄSSJÖ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16657-2024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45408</v>
      </c>
      <c r="E482" s="1" t="n">
        <v>46220</v>
      </c>
      <c r="F482" t="inlineStr">
        <is>
          <t>JÖNKÖPINGS LÄN</t>
        </is>
      </c>
      <c r="G482" t="inlineStr">
        <is>
          <t>NÄSSJÖ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39185-2023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46220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41325-2022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44826</v>
      </c>
      <c r="E484" s="1" t="n">
        <v>46220</v>
      </c>
      <c r="F484" t="inlineStr">
        <is>
          <t>JÖNKÖPINGS LÄN</t>
        </is>
      </c>
      <c r="G484" t="inlineStr">
        <is>
          <t>NÄSSJÖ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28257-2026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46220</v>
      </c>
      <c r="F485" t="inlineStr">
        <is>
          <t>JÖNKÖPINGS LÄN</t>
        </is>
      </c>
      <c r="G485" t="inlineStr">
        <is>
          <t>NÄSSJÖ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28298-2026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46196</v>
      </c>
      <c r="E486" s="1" t="n">
        <v>46220</v>
      </c>
      <c r="F486" t="inlineStr">
        <is>
          <t>JÖNKÖPINGS LÄN</t>
        </is>
      </c>
      <c r="G486" t="inlineStr">
        <is>
          <t>NÄSSJÖ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22408-2026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46154</v>
      </c>
      <c r="E487" s="1" t="n">
        <v>46220</v>
      </c>
      <c r="F487" t="inlineStr">
        <is>
          <t>JÖNKÖPINGS LÄN</t>
        </is>
      </c>
      <c r="G487" t="inlineStr">
        <is>
          <t>NÄSSJÖ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28844-2026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46220</v>
      </c>
      <c r="F488" t="inlineStr">
        <is>
          <t>JÖNKÖPINGS LÄN</t>
        </is>
      </c>
      <c r="G488" t="inlineStr">
        <is>
          <t>NÄSSJÖ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28841-2026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46220</v>
      </c>
      <c r="F489" t="inlineStr">
        <is>
          <t>JÖNKÖPINGS LÄN</t>
        </is>
      </c>
      <c r="G489" t="inlineStr">
        <is>
          <t>NÄSSJÖ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7736-2022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44608</v>
      </c>
      <c r="E490" s="1" t="n">
        <v>46220</v>
      </c>
      <c r="F490" t="inlineStr">
        <is>
          <t>JÖNKÖPINGS LÄN</t>
        </is>
      </c>
      <c r="G490" t="inlineStr">
        <is>
          <t>NÄSSJÖ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8339-2023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44976</v>
      </c>
      <c r="E491" s="1" t="n">
        <v>46220</v>
      </c>
      <c r="F491" t="inlineStr">
        <is>
          <t>JÖNKÖPINGS LÄN</t>
        </is>
      </c>
      <c r="G491" t="inlineStr">
        <is>
          <t>NÄSSJÖ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28847-2026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46220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49878-2023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45213</v>
      </c>
      <c r="E493" s="1" t="n">
        <v>46220</v>
      </c>
      <c r="F493" t="inlineStr">
        <is>
          <t>JÖNKÖPINGS LÄN</t>
        </is>
      </c>
      <c r="G493" t="inlineStr">
        <is>
          <t>NÄSSJÖ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7052-2024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46220</v>
      </c>
      <c r="F494" t="inlineStr">
        <is>
          <t>JÖNKÖPINGS LÄN</t>
        </is>
      </c>
      <c r="G494" t="inlineStr">
        <is>
          <t>NÄSSJÖ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29306-2026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46220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53960-2022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46220</v>
      </c>
      <c r="F496" t="inlineStr">
        <is>
          <t>JÖNKÖPINGS LÄN</t>
        </is>
      </c>
      <c r="G496" t="inlineStr">
        <is>
          <t>NÄSSJÖ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49376-2021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44454</v>
      </c>
      <c r="E497" s="1" t="n">
        <v>46220</v>
      </c>
      <c r="F497" t="inlineStr">
        <is>
          <t>JÖNKÖPINGS LÄN</t>
        </is>
      </c>
      <c r="G497" t="inlineStr">
        <is>
          <t>NÄSSJÖ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32542-2025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45838</v>
      </c>
      <c r="E498" s="1" t="n">
        <v>46220</v>
      </c>
      <c r="F498" t="inlineStr">
        <is>
          <t>JÖNKÖPINGS LÄN</t>
        </is>
      </c>
      <c r="G498" t="inlineStr">
        <is>
          <t>NÄSSJÖ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12103-2024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45377</v>
      </c>
      <c r="E499" s="1" t="n">
        <v>46220</v>
      </c>
      <c r="F499" t="inlineStr">
        <is>
          <t>JÖNKÖPINGS LÄN</t>
        </is>
      </c>
      <c r="G499" t="inlineStr">
        <is>
          <t>NÄSSJÖ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15325-2022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44659</v>
      </c>
      <c r="E500" s="1" t="n">
        <v>46220</v>
      </c>
      <c r="F500" t="inlineStr">
        <is>
          <t>JÖNKÖPINGS LÄN</t>
        </is>
      </c>
      <c r="G500" t="inlineStr">
        <is>
          <t>NÄSSJÖ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61451-2023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46220</v>
      </c>
      <c r="F501" t="inlineStr">
        <is>
          <t>JÖNKÖPINGS LÄN</t>
        </is>
      </c>
      <c r="G501" t="inlineStr">
        <is>
          <t>NÄSSJÖ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6726-2025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45700</v>
      </c>
      <c r="E502" s="1" t="n">
        <v>46220</v>
      </c>
      <c r="F502" t="inlineStr">
        <is>
          <t>JÖNKÖPINGS LÄN</t>
        </is>
      </c>
      <c r="G502" t="inlineStr">
        <is>
          <t>NÄSSJÖ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61545-2022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44916</v>
      </c>
      <c r="E503" s="1" t="n">
        <v>46220</v>
      </c>
      <c r="F503" t="inlineStr">
        <is>
          <t>JÖNKÖPINGS LÄN</t>
        </is>
      </c>
      <c r="G503" t="inlineStr">
        <is>
          <t>NÄSSJÖ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23626-2026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46220</v>
      </c>
      <c r="F504" t="inlineStr">
        <is>
          <t>JÖNKÖPINGS LÄN</t>
        </is>
      </c>
      <c r="G504" t="inlineStr">
        <is>
          <t>NÄSSJÖ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9796-2023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44984</v>
      </c>
      <c r="E505" s="1" t="n">
        <v>46220</v>
      </c>
      <c r="F505" t="inlineStr">
        <is>
          <t>JÖNKÖPINGS LÄN</t>
        </is>
      </c>
      <c r="G505" t="inlineStr">
        <is>
          <t>NÄSSJÖ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29751-2026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46220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45648-2024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45579</v>
      </c>
      <c r="E507" s="1" t="n">
        <v>46220</v>
      </c>
      <c r="F507" t="inlineStr">
        <is>
          <t>JÖNKÖPINGS LÄN</t>
        </is>
      </c>
      <c r="G507" t="inlineStr">
        <is>
          <t>NÄSSJÖ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43697-2023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46220</v>
      </c>
      <c r="F508" t="inlineStr">
        <is>
          <t>JÖNKÖPINGS LÄN</t>
        </is>
      </c>
      <c r="G508" t="inlineStr">
        <is>
          <t>NÄSSJÖ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2025-2024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45308</v>
      </c>
      <c r="E509" s="1" t="n">
        <v>46220</v>
      </c>
      <c r="F509" t="inlineStr">
        <is>
          <t>JÖNKÖPINGS LÄN</t>
        </is>
      </c>
      <c r="G509" t="inlineStr">
        <is>
          <t>NÄSSJÖ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30375-2026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46209</v>
      </c>
      <c r="E510" s="1" t="n">
        <v>46220</v>
      </c>
      <c r="F510" t="inlineStr">
        <is>
          <t>JÖNKÖPINGS LÄN</t>
        </is>
      </c>
      <c r="G510" t="inlineStr">
        <is>
          <t>NÄSSJÖ</t>
        </is>
      </c>
      <c r="H510" t="inlineStr">
        <is>
          <t>Sveaskog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30382-2026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46209</v>
      </c>
      <c r="E511" s="1" t="n">
        <v>46220</v>
      </c>
      <c r="F511" t="inlineStr">
        <is>
          <t>JÖNKÖPINGS LÄN</t>
        </is>
      </c>
      <c r="G511" t="inlineStr">
        <is>
          <t>NÄSSJÖ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11120-2023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46220</v>
      </c>
      <c r="F512" t="inlineStr">
        <is>
          <t>JÖNKÖPINGS LÄN</t>
        </is>
      </c>
      <c r="G512" t="inlineStr">
        <is>
          <t>NÄSSJÖ</t>
        </is>
      </c>
      <c r="H512" t="inlineStr">
        <is>
          <t>Kommuner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55601-2023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46220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30376-2026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46220</v>
      </c>
      <c r="F514" t="inlineStr">
        <is>
          <t>JÖNKÖPINGS LÄN</t>
        </is>
      </c>
      <c r="G514" t="inlineStr">
        <is>
          <t>NÄSSJÖ</t>
        </is>
      </c>
      <c r="H514" t="inlineStr">
        <is>
          <t>Sveaskog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30377-2026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46209</v>
      </c>
      <c r="E515" s="1" t="n">
        <v>46220</v>
      </c>
      <c r="F515" t="inlineStr">
        <is>
          <t>JÖNKÖPINGS LÄN</t>
        </is>
      </c>
      <c r="G515" t="inlineStr">
        <is>
          <t>NÄSSJÖ</t>
        </is>
      </c>
      <c r="H515" t="inlineStr">
        <is>
          <t>Sveaskog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63630-2023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45275</v>
      </c>
      <c r="E516" s="1" t="n">
        <v>46220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42751-2023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46220</v>
      </c>
      <c r="F517" t="inlineStr">
        <is>
          <t>JÖNKÖPINGS LÄN</t>
        </is>
      </c>
      <c r="G517" t="inlineStr">
        <is>
          <t>NÄSSJÖ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30372-2026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46220</v>
      </c>
      <c r="F518" t="inlineStr">
        <is>
          <t>JÖNKÖPINGS LÄN</t>
        </is>
      </c>
      <c r="G518" t="inlineStr">
        <is>
          <t>NÄSSJÖ</t>
        </is>
      </c>
      <c r="H518" t="inlineStr">
        <is>
          <t>Sveaskog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17933-2025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45760</v>
      </c>
      <c r="E519" s="1" t="n">
        <v>46220</v>
      </c>
      <c r="F519" t="inlineStr">
        <is>
          <t>JÖNKÖPINGS LÄN</t>
        </is>
      </c>
      <c r="G519" t="inlineStr">
        <is>
          <t>NÄSSJÖ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17936-2025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45760</v>
      </c>
      <c r="E520" s="1" t="n">
        <v>46220</v>
      </c>
      <c r="F520" t="inlineStr">
        <is>
          <t>JÖNKÖPINGS LÄN</t>
        </is>
      </c>
      <c r="G520" t="inlineStr">
        <is>
          <t>NÄSSJÖ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17943-2025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45760</v>
      </c>
      <c r="E521" s="1" t="n">
        <v>46220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30379-2026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46220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12576-2025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45732</v>
      </c>
      <c r="E523" s="1" t="n">
        <v>46220</v>
      </c>
      <c r="F523" t="inlineStr">
        <is>
          <t>JÖNKÖPINGS LÄN</t>
        </is>
      </c>
      <c r="G523" t="inlineStr">
        <is>
          <t>NÄSSJÖ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63628-2023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46220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28340-2023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45099</v>
      </c>
      <c r="E525" s="1" t="n">
        <v>46220</v>
      </c>
      <c r="F525" t="inlineStr">
        <is>
          <t>JÖNKÖPINGS LÄN</t>
        </is>
      </c>
      <c r="G525" t="inlineStr">
        <is>
          <t>NÄSSJÖ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20356-2023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45056</v>
      </c>
      <c r="E526" s="1" t="n">
        <v>46220</v>
      </c>
      <c r="F526" t="inlineStr">
        <is>
          <t>JÖNKÖPINGS LÄN</t>
        </is>
      </c>
      <c r="G526" t="inlineStr">
        <is>
          <t>NÄSSJÖ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53962-2024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46220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15993-2022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44665</v>
      </c>
      <c r="E528" s="1" t="n">
        <v>46220</v>
      </c>
      <c r="F528" t="inlineStr">
        <is>
          <t>JÖNKÖPINGS LÄN</t>
        </is>
      </c>
      <c r="G528" t="inlineStr">
        <is>
          <t>NÄSSJÖ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24560-2026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46220</v>
      </c>
      <c r="F529" t="inlineStr">
        <is>
          <t>JÖNKÖPINGS LÄN</t>
        </is>
      </c>
      <c r="G529" t="inlineStr">
        <is>
          <t>NÄSSJÖ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52236-2021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44463</v>
      </c>
      <c r="E530" s="1" t="n">
        <v>46220</v>
      </c>
      <c r="F530" t="inlineStr">
        <is>
          <t>JÖNKÖPINGS LÄN</t>
        </is>
      </c>
      <c r="G530" t="inlineStr">
        <is>
          <t>NÄSSJÖ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46580-2022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44848</v>
      </c>
      <c r="E531" s="1" t="n">
        <v>46220</v>
      </c>
      <c r="F531" t="inlineStr">
        <is>
          <t>JÖNKÖPINGS LÄN</t>
        </is>
      </c>
      <c r="G531" t="inlineStr">
        <is>
          <t>NÄSSJÖ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45309</v>
      </c>
      <c r="E532" s="1" t="n">
        <v>46220</v>
      </c>
      <c r="F532" t="inlineStr">
        <is>
          <t>JÖNKÖPINGS LÄN</t>
        </is>
      </c>
      <c r="G532" t="inlineStr">
        <is>
          <t>NÄSSJÖ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30838-2026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46220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31041-2023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46220</v>
      </c>
      <c r="F534" t="inlineStr">
        <is>
          <t>JÖNKÖPINGS LÄN</t>
        </is>
      </c>
      <c r="G534" t="inlineStr">
        <is>
          <t>NÄSSJÖ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24867-2026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46220</v>
      </c>
      <c r="F535" t="inlineStr">
        <is>
          <t>JÖNKÖPINGS LÄN</t>
        </is>
      </c>
      <c r="G535" t="inlineStr">
        <is>
          <t>NÄSSJÖ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52671-2022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44874</v>
      </c>
      <c r="E536" s="1" t="n">
        <v>46220</v>
      </c>
      <c r="F536" t="inlineStr">
        <is>
          <t>JÖNKÖPINGS LÄN</t>
        </is>
      </c>
      <c r="G536" t="inlineStr">
        <is>
          <t>NÄSSJÖ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63087-2023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45273</v>
      </c>
      <c r="E537" s="1" t="n">
        <v>46220</v>
      </c>
      <c r="F537" t="inlineStr">
        <is>
          <t>JÖNKÖPINGS LÄN</t>
        </is>
      </c>
      <c r="G537" t="inlineStr">
        <is>
          <t>NÄSSJÖ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24873-2026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46174</v>
      </c>
      <c r="E538" s="1" t="n">
        <v>46220</v>
      </c>
      <c r="F538" t="inlineStr">
        <is>
          <t>JÖNKÖPINGS LÄN</t>
        </is>
      </c>
      <c r="G538" t="inlineStr">
        <is>
          <t>NÄSSJÖ</t>
        </is>
      </c>
      <c r="H538" t="inlineStr">
        <is>
          <t>Sveaskog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47884-2023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46220</v>
      </c>
      <c r="F539" t="inlineStr">
        <is>
          <t>JÖNKÖPINGS LÄN</t>
        </is>
      </c>
      <c r="G539" t="inlineStr">
        <is>
          <t>NÄSSJÖ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12973-2025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45734</v>
      </c>
      <c r="E540" s="1" t="n">
        <v>46220</v>
      </c>
      <c r="F540" t="inlineStr">
        <is>
          <t>JÖNKÖPINGS LÄN</t>
        </is>
      </c>
      <c r="G540" t="inlineStr">
        <is>
          <t>NÄSSJÖ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24882-2026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46220</v>
      </c>
      <c r="F541" t="inlineStr">
        <is>
          <t>JÖNKÖPINGS LÄN</t>
        </is>
      </c>
      <c r="G541" t="inlineStr">
        <is>
          <t>NÄSSJÖ</t>
        </is>
      </c>
      <c r="H541" t="inlineStr">
        <is>
          <t>Sveaskog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39582-2023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45163</v>
      </c>
      <c r="E542" s="1" t="n">
        <v>46220</v>
      </c>
      <c r="F542" t="inlineStr">
        <is>
          <t>JÖNKÖPINGS LÄN</t>
        </is>
      </c>
      <c r="G542" t="inlineStr">
        <is>
          <t>NÄSSJÖ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7140-2022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44603</v>
      </c>
      <c r="E543" s="1" t="n">
        <v>46220</v>
      </c>
      <c r="F543" t="inlineStr">
        <is>
          <t>JÖNKÖPINGS LÄN</t>
        </is>
      </c>
      <c r="G543" t="inlineStr">
        <is>
          <t>NÄSSJÖ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45307</v>
      </c>
      <c r="E544" s="1" t="n">
        <v>46220</v>
      </c>
      <c r="F544" t="inlineStr">
        <is>
          <t>JÖNKÖPINGS LÄN</t>
        </is>
      </c>
      <c r="G544" t="inlineStr">
        <is>
          <t>NÄSSJÖ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24825-2026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46220</v>
      </c>
      <c r="F545" t="inlineStr">
        <is>
          <t>JÖNKÖPINGS LÄN</t>
        </is>
      </c>
      <c r="G545" t="inlineStr">
        <is>
          <t>NÄSSJÖ</t>
        </is>
      </c>
      <c r="H545" t="inlineStr">
        <is>
          <t>Sveaskog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3259-2024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45316</v>
      </c>
      <c r="E546" s="1" t="n">
        <v>46220</v>
      </c>
      <c r="F546" t="inlineStr">
        <is>
          <t>JÖNKÖPINGS LÄN</t>
        </is>
      </c>
      <c r="G546" t="inlineStr">
        <is>
          <t>NÄSSJÖ</t>
        </is>
      </c>
      <c r="H546" t="inlineStr">
        <is>
          <t>Kyrkan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58533-2022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46220</v>
      </c>
      <c r="F547" t="inlineStr">
        <is>
          <t>JÖNKÖPINGS LÄN</t>
        </is>
      </c>
      <c r="G547" t="inlineStr">
        <is>
          <t>NÄSSJÖ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58553-2022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44902</v>
      </c>
      <c r="E548" s="1" t="n">
        <v>46220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17946-2025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45760</v>
      </c>
      <c r="E549" s="1" t="n">
        <v>46220</v>
      </c>
      <c r="F549" t="inlineStr">
        <is>
          <t>JÖNKÖPINGS LÄN</t>
        </is>
      </c>
      <c r="G549" t="inlineStr">
        <is>
          <t>NÄSSJÖ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14656-2023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45013</v>
      </c>
      <c r="E550" s="1" t="n">
        <v>46220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30001-2023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45109</v>
      </c>
      <c r="E551" s="1" t="n">
        <v>46220</v>
      </c>
      <c r="F551" t="inlineStr">
        <is>
          <t>JÖNKÖPINGS LÄN</t>
        </is>
      </c>
      <c r="G551" t="inlineStr">
        <is>
          <t>NÄSSJÖ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50734-2024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45602</v>
      </c>
      <c r="E552" s="1" t="n">
        <v>46220</v>
      </c>
      <c r="F552" t="inlineStr">
        <is>
          <t>JÖNKÖPINGS LÄN</t>
        </is>
      </c>
      <c r="G552" t="inlineStr">
        <is>
          <t>NÄSSJÖ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4327-2025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45685</v>
      </c>
      <c r="E553" s="1" t="n">
        <v>46220</v>
      </c>
      <c r="F553" t="inlineStr">
        <is>
          <t>JÖNKÖPINGS LÄN</t>
        </is>
      </c>
      <c r="G553" t="inlineStr">
        <is>
          <t>NÄSSJÖ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7145-2025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46220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7158-2025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45702</v>
      </c>
      <c r="E555" s="1" t="n">
        <v>46220</v>
      </c>
      <c r="F555" t="inlineStr">
        <is>
          <t>JÖNKÖPINGS LÄN</t>
        </is>
      </c>
      <c r="G555" t="inlineStr">
        <is>
          <t>NÄSSJÖ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4633-2024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45328</v>
      </c>
      <c r="E556" s="1" t="n">
        <v>46220</v>
      </c>
      <c r="F556" t="inlineStr">
        <is>
          <t>JÖNKÖPINGS LÄN</t>
        </is>
      </c>
      <c r="G556" t="inlineStr">
        <is>
          <t>NÄSSJÖ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6402-2023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44965</v>
      </c>
      <c r="E557" s="1" t="n">
        <v>46220</v>
      </c>
      <c r="F557" t="inlineStr">
        <is>
          <t>JÖNKÖPINGS LÄN</t>
        </is>
      </c>
      <c r="G557" t="inlineStr">
        <is>
          <t>NÄSSJÖ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39485-2024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46220</v>
      </c>
      <c r="F558" t="inlineStr">
        <is>
          <t>JÖNKÖPINGS LÄN</t>
        </is>
      </c>
      <c r="G558" t="inlineStr">
        <is>
          <t>NÄSSJÖ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63695-2023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46220</v>
      </c>
      <c r="F559" t="inlineStr">
        <is>
          <t>JÖNKÖPINGS LÄN</t>
        </is>
      </c>
      <c r="G559" t="inlineStr">
        <is>
          <t>NÄSSJÖ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63743-2023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45277</v>
      </c>
      <c r="E560" s="1" t="n">
        <v>46220</v>
      </c>
      <c r="F560" t="inlineStr">
        <is>
          <t>JÖNKÖPINGS LÄN</t>
        </is>
      </c>
      <c r="G560" t="inlineStr">
        <is>
          <t>NÄSSJÖ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52972-2024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45611</v>
      </c>
      <c r="E561" s="1" t="n">
        <v>46220</v>
      </c>
      <c r="F561" t="inlineStr">
        <is>
          <t>JÖNKÖPINGS LÄN</t>
        </is>
      </c>
      <c r="G561" t="inlineStr">
        <is>
          <t>NÄSSJÖ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20839-2025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45776</v>
      </c>
      <c r="E562" s="1" t="n">
        <v>46220</v>
      </c>
      <c r="F562" t="inlineStr">
        <is>
          <t>JÖNKÖPINGS LÄN</t>
        </is>
      </c>
      <c r="G562" t="inlineStr">
        <is>
          <t>NÄSSJÖ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53914-2024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45615</v>
      </c>
      <c r="E563" s="1" t="n">
        <v>46220</v>
      </c>
      <c r="F563" t="inlineStr">
        <is>
          <t>JÖNKÖPINGS LÄN</t>
        </is>
      </c>
      <c r="G563" t="inlineStr">
        <is>
          <t>NÄSSJÖ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21989-2025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46220</v>
      </c>
      <c r="F564" t="inlineStr">
        <is>
          <t>JÖNKÖPINGS LÄN</t>
        </is>
      </c>
      <c r="G564" t="inlineStr">
        <is>
          <t>NÄSSJÖ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21996-2025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46220</v>
      </c>
      <c r="F565" t="inlineStr">
        <is>
          <t>JÖNKÖPINGS LÄN</t>
        </is>
      </c>
      <c r="G565" t="inlineStr">
        <is>
          <t>NÄSSJÖ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50020-2024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45599</v>
      </c>
      <c r="E566" s="1" t="n">
        <v>46220</v>
      </c>
      <c r="F566" t="inlineStr">
        <is>
          <t>JÖNKÖPINGS LÄN</t>
        </is>
      </c>
      <c r="G566" t="inlineStr">
        <is>
          <t>NÄSSJÖ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7175-2022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44605</v>
      </c>
      <c r="E567" s="1" t="n">
        <v>46220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3647-2024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45320</v>
      </c>
      <c r="E568" s="1" t="n">
        <v>46220</v>
      </c>
      <c r="F568" t="inlineStr">
        <is>
          <t>JÖNKÖPINGS LÄN</t>
        </is>
      </c>
      <c r="G568" t="inlineStr">
        <is>
          <t>NÄSSJÖ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47008-2024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45586</v>
      </c>
      <c r="E569" s="1" t="n">
        <v>46220</v>
      </c>
      <c r="F569" t="inlineStr">
        <is>
          <t>JÖNKÖPINGS LÄN</t>
        </is>
      </c>
      <c r="G569" t="inlineStr">
        <is>
          <t>NÄSSJÖ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23382-2025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45791</v>
      </c>
      <c r="E570" s="1" t="n">
        <v>46220</v>
      </c>
      <c r="F570" t="inlineStr">
        <is>
          <t>JÖNKÖPINGS LÄN</t>
        </is>
      </c>
      <c r="G570" t="inlineStr">
        <is>
          <t>NÄSSJÖ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23388-2025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46220</v>
      </c>
      <c r="F571" t="inlineStr">
        <is>
          <t>JÖNKÖPINGS LÄN</t>
        </is>
      </c>
      <c r="G571" t="inlineStr">
        <is>
          <t>NÄSSJÖ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23378-2025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46220</v>
      </c>
      <c r="F572" t="inlineStr">
        <is>
          <t>JÖNKÖPINGS LÄN</t>
        </is>
      </c>
      <c r="G572" t="inlineStr">
        <is>
          <t>NÄSSJÖ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23381-2025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45791</v>
      </c>
      <c r="E573" s="1" t="n">
        <v>46220</v>
      </c>
      <c r="F573" t="inlineStr">
        <is>
          <t>JÖNKÖPINGS LÄN</t>
        </is>
      </c>
      <c r="G573" t="inlineStr">
        <is>
          <t>NÄSSJÖ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46220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46220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46220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46220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46220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46220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46220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46220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46220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46220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46220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46220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46220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46220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46220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46220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46220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46220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46220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46220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46220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46220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46220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46220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46220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46220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46220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2026-07-17T01:39:52Z</dcterms:created>
  <dcterms:modified xmlns:dcterms="http://purl.org/dc/terms/" xmlns:xsi="http://www.w3.org/2001/XMLSchema-instance" xsi:type="dcterms:W3CDTF">2026-07-17T01:39:53Z</dcterms:modified>
</cp:coreProperties>
</file>