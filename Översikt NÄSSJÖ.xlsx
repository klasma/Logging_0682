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46307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46307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46307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46307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46307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46307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46307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46307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46307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46307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46307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46307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46307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46307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46307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46307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46307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46307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39717-2022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44819</v>
      </c>
      <c r="E27" s="1" t="n">
        <v>46307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Jungfrulin</t>
        </is>
      </c>
      <c r="W27">
        <f>HYPERLINK("https://klasma.github.io/Logging_0682/artfynd/A 39717-2022 artfynd.xlsx", "A 39717-2022")</f>
        <v/>
      </c>
      <c r="X27">
        <f>HYPERLINK("https://klasma.github.io/Logging_0682/kartor/A 39717-2022 karta.png", "A 39717-2022")</f>
        <v/>
      </c>
      <c r="Y27">
        <f>HYPERLINK("https://klasma.github.io/Logging_0682/kartor_geotiff/A 39717-2022 georefererad karta.tif", "A 39717-2022")</f>
        <v/>
      </c>
      <c r="AA27">
        <f>HYPERLINK("https://klasma.github.io/Logging_0682/klagomål/A 39717-2022 FSC-klagomål.docx", "A 39717-2022")</f>
        <v/>
      </c>
      <c r="AB27">
        <f>HYPERLINK("https://klasma.github.io/Logging_0682/klagomålsmail/A 39717-2022 FSC-klagomål mail.docx", "A 39717-2022")</f>
        <v/>
      </c>
      <c r="AC27">
        <f>HYPERLINK("https://klasma.github.io/Logging_0682/tillsyn/A 39717-2022 tillsynsbegäran.docx", "A 39717-2022")</f>
        <v/>
      </c>
      <c r="AD27">
        <f>HYPERLINK("https://klasma.github.io/Logging_0682/tillsynsmail/A 39717-2022 tillsynsbegäran mail.docx", "A 39717-2022")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46307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46307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52937-2024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45610</v>
      </c>
      <c r="E30" s="1" t="n">
        <v>46307</v>
      </c>
      <c r="F30" t="inlineStr">
        <is>
          <t>JÖNKÖPINGS LÄN</t>
        </is>
      </c>
      <c r="G30" t="inlineStr">
        <is>
          <t>NÄSSJÖ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HYPERLINK("https://klasma.github.io/Logging_0682/artfynd/A 52937-2024 artfynd.xlsx", "A 52937-2024")</f>
        <v/>
      </c>
      <c r="X30">
        <f>HYPERLINK("https://klasma.github.io/Logging_0682/kartor/A 52937-2024 karta.png", "A 52937-2024")</f>
        <v/>
      </c>
      <c r="Y30">
        <f>HYPERLINK("https://klasma.github.io/Logging_0682/kartor_geotiff/A 52937-2024 georefererad karta.tif", "A 52937-2024")</f>
        <v/>
      </c>
      <c r="AA30">
        <f>HYPERLINK("https://klasma.github.io/Logging_0682/klagomål/A 52937-2024 FSC-klagomål.docx", "A 52937-2024")</f>
        <v/>
      </c>
      <c r="AB30">
        <f>HYPERLINK("https://klasma.github.io/Logging_0682/klagomålsmail/A 52937-2024 FSC-klagomål mail.docx", "A 52937-2024")</f>
        <v/>
      </c>
      <c r="AC30">
        <f>HYPERLINK("https://klasma.github.io/Logging_0682/tillsyn/A 52937-2024 tillsynsbegäran.docx", "A 52937-2024")</f>
        <v/>
      </c>
      <c r="AD30">
        <f>HYPERLINK("https://klasma.github.io/Logging_0682/tillsynsmail/A 52937-2024 tillsynsbegäran mail.docx", "A 52937-2024")</f>
        <v/>
      </c>
      <c r="AE30">
        <f>HYPERLINK("https://klasma.github.io/Logging_0682/fåglar/A 52937-2024 prioriterade fågelarter.docx", "A 52937-2024")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46307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34909-2024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46307</v>
      </c>
      <c r="F32" t="inlineStr">
        <is>
          <t>JÖNKÖPINGS LÄN</t>
        </is>
      </c>
      <c r="G32" t="inlineStr">
        <is>
          <t>NÄSSJÖ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HYPERLINK("https://klasma.github.io/Logging_0682/artfynd/A 34909-2024 artfynd.xlsx", "A 34909-2024")</f>
        <v/>
      </c>
      <c r="X32">
        <f>HYPERLINK("https://klasma.github.io/Logging_0682/kartor/A 34909-2024 karta.png", "A 34909-2024")</f>
        <v/>
      </c>
      <c r="Y32">
        <f>HYPERLINK("https://klasma.github.io/Logging_0682/kartor_geotiff/A 34909-2024 georefererad karta.tif", "A 34909-2024")</f>
        <v/>
      </c>
      <c r="AA32">
        <f>HYPERLINK("https://klasma.github.io/Logging_0682/klagomål/A 34909-2024 FSC-klagomål.docx", "A 34909-2024")</f>
        <v/>
      </c>
      <c r="AB32">
        <f>HYPERLINK("https://klasma.github.io/Logging_0682/klagomålsmail/A 34909-2024 FSC-klagomål mail.docx", "A 34909-2024")</f>
        <v/>
      </c>
      <c r="AC32">
        <f>HYPERLINK("https://klasma.github.io/Logging_0682/tillsyn/A 34909-2024 tillsynsbegäran.docx", "A 34909-2024")</f>
        <v/>
      </c>
      <c r="AD32">
        <f>HYPERLINK("https://klasma.github.io/Logging_0682/tillsynsmail/A 34909-2024 tillsynsbegäran mail.docx", "A 34909-2024")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46307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46307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33373-2025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46307</v>
      </c>
      <c r="F35" t="inlineStr">
        <is>
          <t>JÖNKÖPINGS LÄN</t>
        </is>
      </c>
      <c r="G35" t="inlineStr">
        <is>
          <t>NÄSSJÖ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Ögonpyrola</t>
        </is>
      </c>
      <c r="W35">
        <f>HYPERLINK("https://klasma.github.io/Logging_0682/artfynd/A 33373-2025 artfynd.xlsx", "A 33373-2025")</f>
        <v/>
      </c>
      <c r="X35">
        <f>HYPERLINK("https://klasma.github.io/Logging_0682/kartor/A 33373-2025 karta.png", "A 33373-2025")</f>
        <v/>
      </c>
      <c r="Y35">
        <f>HYPERLINK("https://klasma.github.io/Logging_0682/kartor_geotiff/A 33373-2025 georefererad karta.tif", "A 33373-2025")</f>
        <v/>
      </c>
      <c r="AA35">
        <f>HYPERLINK("https://klasma.github.io/Logging_0682/klagomål/A 33373-2025 FSC-klagomål.docx", "A 33373-2025")</f>
        <v/>
      </c>
      <c r="AB35">
        <f>HYPERLINK("https://klasma.github.io/Logging_0682/klagomålsmail/A 33373-2025 FSC-klagomål mail.docx", "A 33373-2025")</f>
        <v/>
      </c>
      <c r="AC35">
        <f>HYPERLINK("https://klasma.github.io/Logging_0682/tillsyn/A 33373-2025 tillsynsbegäran.docx", "A 33373-2025")</f>
        <v/>
      </c>
      <c r="AD35">
        <f>HYPERLINK("https://klasma.github.io/Logging_0682/tillsynsmail/A 33373-2025 tillsynsbegäran mail.docx", "A 33373-2025")</f>
        <v/>
      </c>
    </row>
    <row r="36" ht="15" customHeight="1">
      <c r="A36" t="inlineStr">
        <is>
          <t>A 33414-2025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46307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Rhithrogena germanica</t>
        </is>
      </c>
      <c r="W36">
        <f>HYPERLINK("https://klasma.github.io/Logging_0682/artfynd/A 33414-2025 artfynd.xlsx", "A 33414-2025")</f>
        <v/>
      </c>
      <c r="X36">
        <f>HYPERLINK("https://klasma.github.io/Logging_0682/kartor/A 33414-2025 karta.png", "A 33414-2025")</f>
        <v/>
      </c>
      <c r="Y36">
        <f>HYPERLINK("https://klasma.github.io/Logging_0682/kartor_geotiff/A 33414-2025 georefererad karta.tif", "A 33414-2025")</f>
        <v/>
      </c>
      <c r="AA36">
        <f>HYPERLINK("https://klasma.github.io/Logging_0682/klagomål/A 33414-2025 FSC-klagomål.docx", "A 33414-2025")</f>
        <v/>
      </c>
      <c r="AB36">
        <f>HYPERLINK("https://klasma.github.io/Logging_0682/klagomålsmail/A 33414-2025 FSC-klagomål mail.docx", "A 33414-2025")</f>
        <v/>
      </c>
      <c r="AC36">
        <f>HYPERLINK("https://klasma.github.io/Logging_0682/tillsyn/A 33414-2025 tillsynsbegäran.docx", "A 33414-2025")</f>
        <v/>
      </c>
      <c r="AD36">
        <f>HYPERLINK("https://klasma.github.io/Logging_0682/tillsynsmail/A 33414-2025 tillsynsbegäran mail.docx", "A 33414-2025")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46307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55860-2022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44886</v>
      </c>
      <c r="E38" s="1" t="n">
        <v>46307</v>
      </c>
      <c r="F38" t="inlineStr">
        <is>
          <t>JÖNKÖPINGS LÄN</t>
        </is>
      </c>
      <c r="G38" t="inlineStr">
        <is>
          <t>NÄSSJÖ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19</v>
      </c>
      <c r="U38" t="n">
        <v>0</v>
      </c>
      <c r="V38" s="2" t="inlineStr">
        <is>
          <t>Knärot</t>
        </is>
      </c>
      <c r="W38">
        <f>HYPERLINK("https://klasma.github.io/Logging_0682/artfynd/A 55860-2022 artfynd.xlsx", "A 55860-2022")</f>
        <v/>
      </c>
      <c r="X38">
        <f>HYPERLINK("https://klasma.github.io/Logging_0682/kartor/A 55860-2022 karta.png", "A 55860-2022")</f>
        <v/>
      </c>
      <c r="Y38">
        <f>HYPERLINK("https://klasma.github.io/Logging_0682/kartor_geotiff/A 55860-2022 georefererad karta.tif", "A 55860-2022")</f>
        <v/>
      </c>
      <c r="Z38">
        <f>HYPERLINK("https://klasma.github.io/Logging_0682/knärot/A 55860-2022 karta knärot.png", "A 55860-2022")</f>
        <v/>
      </c>
      <c r="AA38">
        <f>HYPERLINK("https://klasma.github.io/Logging_0682/klagomål/A 55860-2022 FSC-klagomål.docx", "A 55860-2022")</f>
        <v/>
      </c>
      <c r="AB38">
        <f>HYPERLINK("https://klasma.github.io/Logging_0682/klagomålsmail/A 55860-2022 FSC-klagomål mail.docx", "A 55860-2022")</f>
        <v/>
      </c>
      <c r="AC38">
        <f>HYPERLINK("https://klasma.github.io/Logging_0682/tillsyn/A 55860-2022 tillsynsbegäran.docx", "A 55860-2022")</f>
        <v/>
      </c>
      <c r="AD38">
        <f>HYPERLINK("https://klasma.github.io/Logging_0682/tillsynsmail/A 55860-2022 tillsynsbegäran mail.docx", "A 55860-2022")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46307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15048-2026 artfynd.xlsx", "A 15048-2026")</f>
        <v/>
      </c>
      <c r="X39">
        <f>HYPERLINK("https://klasma.github.io/Logging_0682/kartor/A 15048-2026 karta.png", "A 15048-2026")</f>
        <v/>
      </c>
      <c r="Y39">
        <f>HYPERLINK("https://klasma.github.io/Logging_0682/kartor_geotiff/A 15048-2026 georefererad karta.tif", "A 15048-2026")</f>
        <v/>
      </c>
      <c r="AA39">
        <f>HYPERLINK("https://klasma.github.io/Logging_0682/klagomål/A 15048-2026 FSC-klagomål.docx", "A 15048-2026")</f>
        <v/>
      </c>
      <c r="AB39">
        <f>HYPERLINK("https://klasma.github.io/Logging_0682/klagomålsmail/A 15048-2026 FSC-klagomål mail.docx", "A 15048-2026")</f>
        <v/>
      </c>
      <c r="AC39">
        <f>HYPERLINK("https://klasma.github.io/Logging_0682/tillsyn/A 15048-2026 tillsynsbegäran.docx", "A 15048-2026")</f>
        <v/>
      </c>
      <c r="AD39">
        <f>HYPERLINK("https://klasma.github.io/Logging_0682/tillsynsmail/A 15048-2026 tillsynsbegäran mail.docx", "A 15048-2026")</f>
        <v/>
      </c>
    </row>
    <row r="40" ht="15" customHeight="1">
      <c r="A40" t="inlineStr">
        <is>
          <t>A 15845-2026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46307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15845-2026 artfynd.xlsx", "A 15845-2026")</f>
        <v/>
      </c>
      <c r="X40">
        <f>HYPERLINK("https://klasma.github.io/Logging_0682/kartor/A 15845-2026 karta.png", "A 15845-2026")</f>
        <v/>
      </c>
      <c r="Y40">
        <f>HYPERLINK("https://klasma.github.io/Logging_0682/kartor_geotiff/A 15845-2026 georefererad karta.tif", "A 15845-2026")</f>
        <v/>
      </c>
      <c r="AA40">
        <f>HYPERLINK("https://klasma.github.io/Logging_0682/klagomål/A 15845-2026 FSC-klagomål.docx", "A 15845-2026")</f>
        <v/>
      </c>
      <c r="AB40">
        <f>HYPERLINK("https://klasma.github.io/Logging_0682/klagomålsmail/A 15845-2026 FSC-klagomål mail.docx", "A 15845-2026")</f>
        <v/>
      </c>
      <c r="AC40">
        <f>HYPERLINK("https://klasma.github.io/Logging_0682/tillsyn/A 15845-2026 tillsynsbegäran.docx", "A 15845-2026")</f>
        <v/>
      </c>
      <c r="AD40">
        <f>HYPERLINK("https://klasma.github.io/Logging_0682/tillsynsmail/A 15845-2026 tillsynsbegäran mail.docx", "A 15845-2026")</f>
        <v/>
      </c>
      <c r="AE40">
        <f>HYPERLINK("https://klasma.github.io/Logging_0682/fåglar/A 15845-2026 prioriterade fågelarter.docx", "A 15845-2026")</f>
        <v/>
      </c>
    </row>
    <row r="41" ht="15" customHeight="1">
      <c r="A41" t="inlineStr">
        <is>
          <t>A 48462-2024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46307</v>
      </c>
      <c r="F41" t="inlineStr">
        <is>
          <t>JÖNKÖPINGS LÄN</t>
        </is>
      </c>
      <c r="G41" t="inlineStr">
        <is>
          <t>NÄSSJÖ</t>
        </is>
      </c>
      <c r="I41" t="n">
        <v>0.9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Kornig nållav</t>
        </is>
      </c>
      <c r="W41">
        <f>HYPERLINK("https://klasma.github.io/Logging_0682/artfynd/A 48462-2024 artfynd.xlsx", "A 48462-2024")</f>
        <v/>
      </c>
      <c r="X41">
        <f>HYPERLINK("https://klasma.github.io/Logging_0682/kartor/A 48462-2024 karta.png", "A 48462-2024")</f>
        <v/>
      </c>
      <c r="Y41">
        <f>HYPERLINK("https://klasma.github.io/Logging_0682/kartor_geotiff/A 48462-2024 georefererad karta.tif", "A 48462-2024")</f>
        <v/>
      </c>
      <c r="AA41">
        <f>HYPERLINK("https://klasma.github.io/Logging_0682/klagomål/A 48462-2024 FSC-klagomål.docx", "A 48462-2024")</f>
        <v/>
      </c>
      <c r="AB41">
        <f>HYPERLINK("https://klasma.github.io/Logging_0682/klagomålsmail/A 48462-2024 FSC-klagomål mail.docx", "A 48462-2024")</f>
        <v/>
      </c>
      <c r="AC41">
        <f>HYPERLINK("https://klasma.github.io/Logging_0682/tillsyn/A 48462-2024 tillsynsbegäran.docx", "A 48462-2024")</f>
        <v/>
      </c>
      <c r="AD41">
        <f>HYPERLINK("https://klasma.github.io/Logging_0682/tillsynsmail/A 48462-2024 tillsynsbegäran mail.docx", "A 48462-2024")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46307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63989-2025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46307</v>
      </c>
      <c r="F43" t="inlineStr">
        <is>
          <t>JÖNKÖPINGS LÄN</t>
        </is>
      </c>
      <c r="G43" t="inlineStr">
        <is>
          <t>NÄSSJÖ</t>
        </is>
      </c>
      <c r="I43" t="n">
        <v>2.7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Fältgentiana</t>
        </is>
      </c>
      <c r="W43">
        <f>HYPERLINK("https://klasma.github.io/Logging_0682/artfynd/A 63989-2025 artfynd.xlsx", "A 63989-2025")</f>
        <v/>
      </c>
      <c r="X43">
        <f>HYPERLINK("https://klasma.github.io/Logging_0682/kartor/A 63989-2025 karta.png", "A 63989-2025")</f>
        <v/>
      </c>
      <c r="Y43">
        <f>HYPERLINK("https://klasma.github.io/Logging_0682/kartor_geotiff/A 63989-2025 georefererad karta.tif", "A 63989-2025")</f>
        <v/>
      </c>
      <c r="AA43">
        <f>HYPERLINK("https://klasma.github.io/Logging_0682/klagomål/A 63989-2025 FSC-klagomål.docx", "A 63989-2025")</f>
        <v/>
      </c>
      <c r="AB43">
        <f>HYPERLINK("https://klasma.github.io/Logging_0682/klagomålsmail/A 63989-2025 FSC-klagomål mail.docx", "A 63989-2025")</f>
        <v/>
      </c>
      <c r="AC43">
        <f>HYPERLINK("https://klasma.github.io/Logging_0682/tillsyn/A 63989-2025 tillsynsbegäran.docx", "A 63989-2025")</f>
        <v/>
      </c>
      <c r="AD43">
        <f>HYPERLINK("https://klasma.github.io/Logging_0682/tillsynsmail/A 63989-2025 tillsynsbegäran mail.docx", "A 63989-2025")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46307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4720-2026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46307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Grönpyrola</t>
        </is>
      </c>
      <c r="W45">
        <f>HYPERLINK("https://klasma.github.io/Logging_0682/artfynd/A 4720-2026 artfynd.xlsx", "A 4720-2026")</f>
        <v/>
      </c>
      <c r="X45">
        <f>HYPERLINK("https://klasma.github.io/Logging_0682/kartor/A 4720-2026 karta.png", "A 4720-2026")</f>
        <v/>
      </c>
      <c r="Y45">
        <f>HYPERLINK("https://klasma.github.io/Logging_0682/kartor_geotiff/A 4720-2026 georefererad karta.tif", "A 4720-2026")</f>
        <v/>
      </c>
      <c r="AA45">
        <f>HYPERLINK("https://klasma.github.io/Logging_0682/klagomål/A 4720-2026 FSC-klagomål.docx", "A 4720-2026")</f>
        <v/>
      </c>
      <c r="AB45">
        <f>HYPERLINK("https://klasma.github.io/Logging_0682/klagomålsmail/A 4720-2026 FSC-klagomål mail.docx", "A 4720-2026")</f>
        <v/>
      </c>
      <c r="AC45">
        <f>HYPERLINK("https://klasma.github.io/Logging_0682/tillsyn/A 4720-2026 tillsynsbegäran.docx", "A 4720-2026")</f>
        <v/>
      </c>
      <c r="AD45">
        <f>HYPERLINK("https://klasma.github.io/Logging_0682/tillsynsmail/A 4720-2026 tillsynsbegäran mail.docx", "A 4720-2026")</f>
        <v/>
      </c>
    </row>
    <row r="46" ht="15" customHeight="1">
      <c r="A46" t="inlineStr">
        <is>
          <t>A 5108-2026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46307</v>
      </c>
      <c r="F46" t="inlineStr">
        <is>
          <t>JÖNKÖPINGS LÄN</t>
        </is>
      </c>
      <c r="G46" t="inlineStr">
        <is>
          <t>NÄSSJÖ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HYPERLINK("https://klasma.github.io/Logging_0682/artfynd/A 5108-2026 artfynd.xlsx", "A 5108-2026")</f>
        <v/>
      </c>
      <c r="X46">
        <f>HYPERLINK("https://klasma.github.io/Logging_0682/kartor/A 5108-2026 karta.png", "A 5108-2026")</f>
        <v/>
      </c>
      <c r="Y46">
        <f>HYPERLINK("https://klasma.github.io/Logging_0682/kartor_geotiff/A 5108-2026 georefererad karta.tif", "A 5108-2026")</f>
        <v/>
      </c>
      <c r="AA46">
        <f>HYPERLINK("https://klasma.github.io/Logging_0682/klagomål/A 5108-2026 FSC-klagomål.docx", "A 5108-2026")</f>
        <v/>
      </c>
      <c r="AB46">
        <f>HYPERLINK("https://klasma.github.io/Logging_0682/klagomålsmail/A 5108-2026 FSC-klagomål mail.docx", "A 5108-2026")</f>
        <v/>
      </c>
      <c r="AC46">
        <f>HYPERLINK("https://klasma.github.io/Logging_0682/tillsyn/A 5108-2026 tillsynsbegäran.docx", "A 5108-2026")</f>
        <v/>
      </c>
      <c r="AD46">
        <f>HYPERLINK("https://klasma.github.io/Logging_0682/tillsynsmail/A 5108-2026 tillsynsbegäran mail.docx", "A 5108-2026")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46307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46307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46307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46307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46307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46307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46307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46307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46307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46307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46307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46307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46307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46307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46307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46307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46307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46307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46307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44691</v>
      </c>
      <c r="E66" s="1" t="n">
        <v>46307</v>
      </c>
      <c r="F66" t="inlineStr">
        <is>
          <t>JÖNKÖPINGS LÄN</t>
        </is>
      </c>
      <c r="G66" t="inlineStr">
        <is>
          <t>NÄSSJÖ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44579</v>
      </c>
      <c r="E67" s="1" t="n">
        <v>46307</v>
      </c>
      <c r="F67" t="inlineStr">
        <is>
          <t>JÖNKÖPINGS LÄN</t>
        </is>
      </c>
      <c r="G67" t="inlineStr">
        <is>
          <t>NÄSSJÖ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46307</v>
      </c>
      <c r="F68" t="inlineStr">
        <is>
          <t>JÖNKÖPINGS LÄN</t>
        </is>
      </c>
      <c r="G68" t="inlineStr">
        <is>
          <t>NÄSSJÖ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46307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46307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46307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46307</v>
      </c>
      <c r="F72" t="inlineStr">
        <is>
          <t>JÖNKÖPINGS LÄN</t>
        </is>
      </c>
      <c r="G72" t="inlineStr">
        <is>
          <t>NÄSSJÖ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8540-2022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44613</v>
      </c>
      <c r="E73" s="1" t="n">
        <v>46307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46307</v>
      </c>
      <c r="F74" t="inlineStr">
        <is>
          <t>JÖNKÖPINGS LÄN</t>
        </is>
      </c>
      <c r="G74" t="inlineStr">
        <is>
          <t>NÄSSJÖ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46307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71609-2021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44541</v>
      </c>
      <c r="E76" s="1" t="n">
        <v>46307</v>
      </c>
      <c r="F76" t="inlineStr">
        <is>
          <t>JÖNKÖPINGS LÄN</t>
        </is>
      </c>
      <c r="G76" t="inlineStr">
        <is>
          <t>NÄSSJÖ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46307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16314-2022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44670</v>
      </c>
      <c r="E78" s="1" t="n">
        <v>46307</v>
      </c>
      <c r="F78" t="inlineStr">
        <is>
          <t>JÖNKÖPINGS LÄN</t>
        </is>
      </c>
      <c r="G78" t="inlineStr">
        <is>
          <t>NÄSSJÖ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46307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44678</v>
      </c>
      <c r="E80" s="1" t="n">
        <v>46307</v>
      </c>
      <c r="F80" t="inlineStr">
        <is>
          <t>JÖNKÖPINGS LÄN</t>
        </is>
      </c>
      <c r="G80" t="inlineStr">
        <is>
          <t>NÄSSJÖ</t>
        </is>
      </c>
      <c r="I80" t="n">
        <v>12.9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29183-2022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46307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46307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20945-2022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44701</v>
      </c>
      <c r="E83" s="1" t="n">
        <v>46307</v>
      </c>
      <c r="F83" t="inlineStr">
        <is>
          <t>JÖNKÖPINGS LÄN</t>
        </is>
      </c>
      <c r="G83" t="inlineStr">
        <is>
          <t>NÄSSJÖ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46307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46307</v>
      </c>
      <c r="F85" t="inlineStr">
        <is>
          <t>JÖNKÖPINGS LÄN</t>
        </is>
      </c>
      <c r="G85" t="inlineStr">
        <is>
          <t>NÄSSJÖ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46307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46307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44721</v>
      </c>
      <c r="E88" s="1" t="n">
        <v>46307</v>
      </c>
      <c r="F88" t="inlineStr">
        <is>
          <t>JÖNKÖPINGS LÄN</t>
        </is>
      </c>
      <c r="G88" t="inlineStr">
        <is>
          <t>NÄSSJÖ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46307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46307</v>
      </c>
      <c r="F90" t="inlineStr">
        <is>
          <t>JÖNKÖPINGS LÄN</t>
        </is>
      </c>
      <c r="G90" t="inlineStr">
        <is>
          <t>NÄSSJÖ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44650</v>
      </c>
      <c r="E91" s="1" t="n">
        <v>46307</v>
      </c>
      <c r="F91" t="inlineStr">
        <is>
          <t>JÖNKÖPINGS LÄN</t>
        </is>
      </c>
      <c r="G91" t="inlineStr">
        <is>
          <t>NÄSSJÖ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46307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46307</v>
      </c>
      <c r="F93" t="inlineStr">
        <is>
          <t>JÖNKÖPINGS LÄN</t>
        </is>
      </c>
      <c r="G93" t="inlineStr">
        <is>
          <t>NÄSSJÖ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46307</v>
      </c>
      <c r="F94" t="inlineStr">
        <is>
          <t>JÖNKÖPINGS LÄN</t>
        </is>
      </c>
      <c r="G94" t="inlineStr">
        <is>
          <t>NÄSSJÖ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45154</v>
      </c>
      <c r="E95" s="1" t="n">
        <v>46307</v>
      </c>
      <c r="F95" t="inlineStr">
        <is>
          <t>JÖNKÖPINGS LÄN</t>
        </is>
      </c>
      <c r="G95" t="inlineStr">
        <is>
          <t>NÄSSJÖ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45021</v>
      </c>
      <c r="E96" s="1" t="n">
        <v>46307</v>
      </c>
      <c r="F96" t="inlineStr">
        <is>
          <t>JÖNKÖPINGS LÄN</t>
        </is>
      </c>
      <c r="G96" t="inlineStr">
        <is>
          <t>NÄSSJÖ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41324-2022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46307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46307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46307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46307</v>
      </c>
      <c r="F100" t="inlineStr">
        <is>
          <t>JÖNKÖPINGS LÄN</t>
        </is>
      </c>
      <c r="G100" t="inlineStr">
        <is>
          <t>NÄSSJÖ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46307</v>
      </c>
      <c r="F101" t="inlineStr">
        <is>
          <t>JÖNKÖPINGS LÄN</t>
        </is>
      </c>
      <c r="G101" t="inlineStr">
        <is>
          <t>NÄSSJÖ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46307</v>
      </c>
      <c r="F102" t="inlineStr">
        <is>
          <t>JÖNKÖPINGS LÄN</t>
        </is>
      </c>
      <c r="G102" t="inlineStr">
        <is>
          <t>NÄSSJÖ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46307</v>
      </c>
      <c r="F103" t="inlineStr">
        <is>
          <t>JÖNKÖPINGS LÄN</t>
        </is>
      </c>
      <c r="G103" t="inlineStr">
        <is>
          <t>NÄSSJÖ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46307</v>
      </c>
      <c r="F104" t="inlineStr">
        <is>
          <t>JÖNKÖPINGS LÄN</t>
        </is>
      </c>
      <c r="G104" t="inlineStr">
        <is>
          <t>NÄSSJÖ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46307</v>
      </c>
      <c r="F105" t="inlineStr">
        <is>
          <t>JÖNKÖPINGS LÄN</t>
        </is>
      </c>
      <c r="G105" t="inlineStr">
        <is>
          <t>NÄSSJÖ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46307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46307</v>
      </c>
      <c r="F107" t="inlineStr">
        <is>
          <t>JÖNKÖPINGS LÄN</t>
        </is>
      </c>
      <c r="G107" t="inlineStr">
        <is>
          <t>NÄSSJÖ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46307</v>
      </c>
      <c r="F108" t="inlineStr">
        <is>
          <t>JÖNKÖPINGS LÄN</t>
        </is>
      </c>
      <c r="G108" t="inlineStr">
        <is>
          <t>NÄSSJÖ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45732</v>
      </c>
      <c r="E109" s="1" t="n">
        <v>46307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46307</v>
      </c>
      <c r="F110" t="inlineStr">
        <is>
          <t>JÖNKÖPINGS LÄN</t>
        </is>
      </c>
      <c r="G110" t="inlineStr">
        <is>
          <t>NÄSSJÖ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46307</v>
      </c>
      <c r="F111" t="inlineStr">
        <is>
          <t>JÖNKÖPINGS LÄN</t>
        </is>
      </c>
      <c r="G111" t="inlineStr">
        <is>
          <t>NÄSSJÖ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46307</v>
      </c>
      <c r="F112" t="inlineStr">
        <is>
          <t>JÖNKÖPINGS LÄN</t>
        </is>
      </c>
      <c r="G112" t="inlineStr">
        <is>
          <t>NÄSSJÖ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46307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46307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46307</v>
      </c>
      <c r="F115" t="inlineStr">
        <is>
          <t>JÖNKÖPINGS LÄN</t>
        </is>
      </c>
      <c r="G115" t="inlineStr">
        <is>
          <t>NÄSSJÖ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46307</v>
      </c>
      <c r="F116" t="inlineStr">
        <is>
          <t>JÖNKÖPINGS LÄN</t>
        </is>
      </c>
      <c r="G116" t="inlineStr">
        <is>
          <t>NÄSSJÖ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46307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44902</v>
      </c>
      <c r="E118" s="1" t="n">
        <v>46307</v>
      </c>
      <c r="F118" t="inlineStr">
        <is>
          <t>JÖNKÖPINGS LÄN</t>
        </is>
      </c>
      <c r="G118" t="inlineStr">
        <is>
          <t>NÄSSJÖ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46307</v>
      </c>
      <c r="F119" t="inlineStr">
        <is>
          <t>JÖNKÖPINGS LÄN</t>
        </is>
      </c>
      <c r="G119" t="inlineStr">
        <is>
          <t>NÄSSJÖ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44928</v>
      </c>
      <c r="E120" s="1" t="n">
        <v>46307</v>
      </c>
      <c r="F120" t="inlineStr">
        <is>
          <t>JÖNKÖPINGS LÄN</t>
        </is>
      </c>
      <c r="G120" t="inlineStr">
        <is>
          <t>NÄSSJÖ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46307</v>
      </c>
      <c r="F121" t="inlineStr">
        <is>
          <t>JÖNKÖPINGS LÄN</t>
        </is>
      </c>
      <c r="G121" t="inlineStr">
        <is>
          <t>NÄSSJÖ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46307</v>
      </c>
      <c r="F122" t="inlineStr">
        <is>
          <t>JÖNKÖPINGS LÄN</t>
        </is>
      </c>
      <c r="G122" t="inlineStr">
        <is>
          <t>NÄSSJÖ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46307</v>
      </c>
      <c r="F123" t="inlineStr">
        <is>
          <t>JÖNKÖPINGS LÄN</t>
        </is>
      </c>
      <c r="G123" t="inlineStr">
        <is>
          <t>NÄSSJÖ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46307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46307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46307</v>
      </c>
      <c r="F126" t="inlineStr">
        <is>
          <t>JÖNKÖPINGS LÄN</t>
        </is>
      </c>
      <c r="G126" t="inlineStr">
        <is>
          <t>NÄSSJÖ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46307</v>
      </c>
      <c r="F127" t="inlineStr">
        <is>
          <t>JÖNKÖPINGS LÄN</t>
        </is>
      </c>
      <c r="G127" t="inlineStr">
        <is>
          <t>NÄSSJÖ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46307</v>
      </c>
      <c r="F128" t="inlineStr">
        <is>
          <t>JÖNKÖPINGS LÄN</t>
        </is>
      </c>
      <c r="G128" t="inlineStr">
        <is>
          <t>NÄSSJÖ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45322</v>
      </c>
      <c r="E129" s="1" t="n">
        <v>46307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46307</v>
      </c>
      <c r="F130" t="inlineStr">
        <is>
          <t>JÖNKÖPINGS LÄN</t>
        </is>
      </c>
      <c r="G130" t="inlineStr">
        <is>
          <t>NÄSSJÖ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46307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45380</v>
      </c>
      <c r="E132" s="1" t="n">
        <v>46307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45210</v>
      </c>
      <c r="E133" s="1" t="n">
        <v>46307</v>
      </c>
      <c r="F133" t="inlineStr">
        <is>
          <t>JÖNKÖPINGS LÄN</t>
        </is>
      </c>
      <c r="G133" t="inlineStr">
        <is>
          <t>NÄSSJÖ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44564</v>
      </c>
      <c r="E134" s="1" t="n">
        <v>46307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44664</v>
      </c>
      <c r="E135" s="1" t="n">
        <v>46307</v>
      </c>
      <c r="F135" t="inlineStr">
        <is>
          <t>JÖNKÖPINGS LÄN</t>
        </is>
      </c>
      <c r="G135" t="inlineStr">
        <is>
          <t>NÄSSJÖ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46307</v>
      </c>
      <c r="F136" t="inlineStr">
        <is>
          <t>JÖNKÖPINGS LÄN</t>
        </is>
      </c>
      <c r="G136" t="inlineStr">
        <is>
          <t>NÄSSJÖ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46307</v>
      </c>
      <c r="F137" t="inlineStr">
        <is>
          <t>JÖNKÖPINGS LÄN</t>
        </is>
      </c>
      <c r="G137" t="inlineStr">
        <is>
          <t>NÄSSJÖ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46307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45732</v>
      </c>
      <c r="E139" s="1" t="n">
        <v>46307</v>
      </c>
      <c r="F139" t="inlineStr">
        <is>
          <t>JÖNKÖPINGS LÄN</t>
        </is>
      </c>
      <c r="G139" t="inlineStr">
        <is>
          <t>NÄSSJÖ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45391</v>
      </c>
      <c r="E140" s="1" t="n">
        <v>46307</v>
      </c>
      <c r="F140" t="inlineStr">
        <is>
          <t>JÖNKÖPINGS LÄN</t>
        </is>
      </c>
      <c r="G140" t="inlineStr">
        <is>
          <t>NÄSSJÖ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46307</v>
      </c>
      <c r="F141" t="inlineStr">
        <is>
          <t>JÖNKÖPINGS LÄN</t>
        </is>
      </c>
      <c r="G141" t="inlineStr">
        <is>
          <t>NÄSSJÖ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45303</v>
      </c>
      <c r="E142" s="1" t="n">
        <v>46307</v>
      </c>
      <c r="F142" t="inlineStr">
        <is>
          <t>JÖNKÖPINGS LÄN</t>
        </is>
      </c>
      <c r="G142" t="inlineStr">
        <is>
          <t>NÄSSJÖ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45013</v>
      </c>
      <c r="E143" s="1" t="n">
        <v>46307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45610</v>
      </c>
      <c r="E144" s="1" t="n">
        <v>46307</v>
      </c>
      <c r="F144" t="inlineStr">
        <is>
          <t>JÖNKÖPINGS LÄN</t>
        </is>
      </c>
      <c r="G144" t="inlineStr">
        <is>
          <t>NÄSSJÖ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45380</v>
      </c>
      <c r="E145" s="1" t="n">
        <v>46307</v>
      </c>
      <c r="F145" t="inlineStr">
        <is>
          <t>JÖNKÖPINGS LÄN</t>
        </is>
      </c>
      <c r="G145" t="inlineStr">
        <is>
          <t>NÄSSJÖ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46307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46307</v>
      </c>
      <c r="F147" t="inlineStr">
        <is>
          <t>JÖNKÖPINGS LÄN</t>
        </is>
      </c>
      <c r="G147" t="inlineStr">
        <is>
          <t>NÄSSJÖ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46307</v>
      </c>
      <c r="F148" t="inlineStr">
        <is>
          <t>JÖNKÖPINGS LÄN</t>
        </is>
      </c>
      <c r="G148" t="inlineStr">
        <is>
          <t>NÄSSJÖ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45099</v>
      </c>
      <c r="E149" s="1" t="n">
        <v>46307</v>
      </c>
      <c r="F149" t="inlineStr">
        <is>
          <t>JÖNKÖPINGS LÄN</t>
        </is>
      </c>
      <c r="G149" t="inlineStr">
        <is>
          <t>NÄSSJÖ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46307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45567</v>
      </c>
      <c r="E151" s="1" t="n">
        <v>46307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46307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45614</v>
      </c>
      <c r="E153" s="1" t="n">
        <v>46307</v>
      </c>
      <c r="F153" t="inlineStr">
        <is>
          <t>JÖNKÖPINGS LÄN</t>
        </is>
      </c>
      <c r="G153" t="inlineStr">
        <is>
          <t>NÄSSJÖ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46307</v>
      </c>
      <c r="F154" t="inlineStr">
        <is>
          <t>JÖNKÖPINGS LÄN</t>
        </is>
      </c>
      <c r="G154" t="inlineStr">
        <is>
          <t>NÄSSJÖ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46307</v>
      </c>
      <c r="F155" t="inlineStr">
        <is>
          <t>JÖNKÖPINGS LÄN</t>
        </is>
      </c>
      <c r="G155" t="inlineStr">
        <is>
          <t>NÄSSJÖ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46307</v>
      </c>
      <c r="F156" t="inlineStr">
        <is>
          <t>JÖNKÖPINGS LÄN</t>
        </is>
      </c>
      <c r="G156" t="inlineStr">
        <is>
          <t>NÄSSJÖ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15829-2024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45404</v>
      </c>
      <c r="E157" s="1" t="n">
        <v>46307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15993-2022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44665</v>
      </c>
      <c r="E158" s="1" t="n">
        <v>46307</v>
      </c>
      <c r="F158" t="inlineStr">
        <is>
          <t>JÖNKÖPINGS LÄN</t>
        </is>
      </c>
      <c r="G158" t="inlineStr">
        <is>
          <t>NÄSSJÖ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46307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46307</v>
      </c>
      <c r="F160" t="inlineStr">
        <is>
          <t>JÖNKÖPINGS LÄN</t>
        </is>
      </c>
      <c r="G160" t="inlineStr">
        <is>
          <t>NÄSSJÖ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46307</v>
      </c>
      <c r="F161" t="inlineStr">
        <is>
          <t>JÖNKÖPINGS LÄN</t>
        </is>
      </c>
      <c r="G161" t="inlineStr">
        <is>
          <t>NÄSSJÖ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46307</v>
      </c>
      <c r="F162" t="inlineStr">
        <is>
          <t>JÖNKÖPINGS LÄN</t>
        </is>
      </c>
      <c r="G162" t="inlineStr">
        <is>
          <t>NÄSSJÖ</t>
        </is>
      </c>
      <c r="H162" t="inlineStr">
        <is>
          <t>Kommuner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44659</v>
      </c>
      <c r="E163" s="1" t="n">
        <v>46307</v>
      </c>
      <c r="F163" t="inlineStr">
        <is>
          <t>JÖNKÖPINGS LÄN</t>
        </is>
      </c>
      <c r="G163" t="inlineStr">
        <is>
          <t>NÄSSJÖ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32982-2024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45517</v>
      </c>
      <c r="E164" s="1" t="n">
        <v>46307</v>
      </c>
      <c r="F164" t="inlineStr">
        <is>
          <t>JÖNKÖPINGS LÄN</t>
        </is>
      </c>
      <c r="G164" t="inlineStr">
        <is>
          <t>NÄSSJÖ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46307</v>
      </c>
      <c r="F165" t="inlineStr">
        <is>
          <t>JÖNKÖPINGS LÄN</t>
        </is>
      </c>
      <c r="G165" t="inlineStr">
        <is>
          <t>NÄSSJÖ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45307</v>
      </c>
      <c r="E166" s="1" t="n">
        <v>46307</v>
      </c>
      <c r="F166" t="inlineStr">
        <is>
          <t>JÖNKÖPINGS LÄN</t>
        </is>
      </c>
      <c r="G166" t="inlineStr">
        <is>
          <t>NÄSSJÖ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46307</v>
      </c>
      <c r="F167" t="inlineStr">
        <is>
          <t>JÖNKÖPINGS LÄN</t>
        </is>
      </c>
      <c r="G167" t="inlineStr">
        <is>
          <t>NÄSSJÖ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46307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45046</v>
      </c>
      <c r="E169" s="1" t="n">
        <v>46307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46307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45181</v>
      </c>
      <c r="E171" s="1" t="n">
        <v>46307</v>
      </c>
      <c r="F171" t="inlineStr">
        <is>
          <t>JÖNKÖPINGS LÄN</t>
        </is>
      </c>
      <c r="G171" t="inlineStr">
        <is>
          <t>NÄSSJÖ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45056</v>
      </c>
      <c r="E172" s="1" t="n">
        <v>46307</v>
      </c>
      <c r="F172" t="inlineStr">
        <is>
          <t>JÖNKÖPINGS LÄN</t>
        </is>
      </c>
      <c r="G172" t="inlineStr">
        <is>
          <t>NÄSSJÖ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44484</v>
      </c>
      <c r="E173" s="1" t="n">
        <v>46307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45277</v>
      </c>
      <c r="E174" s="1" t="n">
        <v>46307</v>
      </c>
      <c r="F174" t="inlineStr">
        <is>
          <t>JÖNKÖPINGS LÄN</t>
        </is>
      </c>
      <c r="G174" t="inlineStr">
        <is>
          <t>NÄSSJÖ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46307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45154</v>
      </c>
      <c r="E176" s="1" t="n">
        <v>46307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45742</v>
      </c>
      <c r="E177" s="1" t="n">
        <v>46307</v>
      </c>
      <c r="F177" t="inlineStr">
        <is>
          <t>JÖNKÖPINGS LÄN</t>
        </is>
      </c>
      <c r="G177" t="inlineStr">
        <is>
          <t>NÄSSJÖ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63087-2023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46307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45704</v>
      </c>
      <c r="E179" s="1" t="n">
        <v>46307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46307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46307</v>
      </c>
      <c r="F181" t="inlineStr">
        <is>
          <t>JÖNKÖPINGS LÄN</t>
        </is>
      </c>
      <c r="G181" t="inlineStr">
        <is>
          <t>NÄSSJÖ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46307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46307</v>
      </c>
      <c r="F183" t="inlineStr">
        <is>
          <t>JÖNKÖPINGS LÄN</t>
        </is>
      </c>
      <c r="G183" t="inlineStr">
        <is>
          <t>NÄSSJÖ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46307</v>
      </c>
      <c r="F184" t="inlineStr">
        <is>
          <t>JÖNKÖPINGS LÄN</t>
        </is>
      </c>
      <c r="G184" t="inlineStr">
        <is>
          <t>NÄSSJÖ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46307</v>
      </c>
      <c r="F185" t="inlineStr">
        <is>
          <t>JÖNKÖPINGS LÄN</t>
        </is>
      </c>
      <c r="G185" t="inlineStr">
        <is>
          <t>NÄSSJÖ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46307</v>
      </c>
      <c r="F186" t="inlineStr">
        <is>
          <t>JÖNKÖPINGS LÄN</t>
        </is>
      </c>
      <c r="G186" t="inlineStr">
        <is>
          <t>NÄSSJÖ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46307</v>
      </c>
      <c r="F187" t="inlineStr">
        <is>
          <t>JÖNKÖPINGS LÄN</t>
        </is>
      </c>
      <c r="G187" t="inlineStr">
        <is>
          <t>NÄSSJÖ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46307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39555-2025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45890</v>
      </c>
      <c r="E189" s="1" t="n">
        <v>46307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46307</v>
      </c>
      <c r="F190" t="inlineStr">
        <is>
          <t>JÖNKÖPINGS LÄN</t>
        </is>
      </c>
      <c r="G190" t="inlineStr">
        <is>
          <t>NÄSSJÖ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46307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46307</v>
      </c>
      <c r="F192" t="inlineStr">
        <is>
          <t>JÖNKÖPINGS LÄN</t>
        </is>
      </c>
      <c r="G192" t="inlineStr">
        <is>
          <t>NÄSSJÖ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46307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46307</v>
      </c>
      <c r="F194" t="inlineStr">
        <is>
          <t>JÖNKÖPINGS LÄN</t>
        </is>
      </c>
      <c r="G194" t="inlineStr">
        <is>
          <t>NÄSSJÖ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46307</v>
      </c>
      <c r="F195" t="inlineStr">
        <is>
          <t>JÖNKÖPINGS LÄN</t>
        </is>
      </c>
      <c r="G195" t="inlineStr">
        <is>
          <t>NÄSSJÖ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46307</v>
      </c>
      <c r="F196" t="inlineStr">
        <is>
          <t>JÖNKÖPINGS LÄN</t>
        </is>
      </c>
      <c r="G196" t="inlineStr">
        <is>
          <t>NÄSSJÖ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46307</v>
      </c>
      <c r="F197" t="inlineStr">
        <is>
          <t>JÖNKÖPINGS LÄN</t>
        </is>
      </c>
      <c r="G197" t="inlineStr">
        <is>
          <t>NÄSSJÖ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46307</v>
      </c>
      <c r="F198" t="inlineStr">
        <is>
          <t>JÖNKÖPINGS LÄN</t>
        </is>
      </c>
      <c r="G198" t="inlineStr">
        <is>
          <t>NÄSSJÖ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46307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45448</v>
      </c>
      <c r="E200" s="1" t="n">
        <v>46307</v>
      </c>
      <c r="F200" t="inlineStr">
        <is>
          <t>JÖNKÖPINGS LÄN</t>
        </is>
      </c>
      <c r="G200" t="inlineStr">
        <is>
          <t>NÄSSJÖ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46307</v>
      </c>
      <c r="F201" t="inlineStr">
        <is>
          <t>JÖNKÖPINGS LÄN</t>
        </is>
      </c>
      <c r="G201" t="inlineStr">
        <is>
          <t>NÄSSJÖ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46307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45899</v>
      </c>
      <c r="E203" s="1" t="n">
        <v>46307</v>
      </c>
      <c r="F203" t="inlineStr">
        <is>
          <t>JÖNKÖPINGS LÄN</t>
        </is>
      </c>
      <c r="G203" t="inlineStr">
        <is>
          <t>NÄSSJÖ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46307</v>
      </c>
      <c r="F204" t="inlineStr">
        <is>
          <t>JÖNKÖPINGS LÄN</t>
        </is>
      </c>
      <c r="G204" t="inlineStr">
        <is>
          <t>NÄSSJÖ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45625</v>
      </c>
      <c r="E205" s="1" t="n">
        <v>46307</v>
      </c>
      <c r="F205" t="inlineStr">
        <is>
          <t>JÖNKÖPINGS LÄN</t>
        </is>
      </c>
      <c r="G205" t="inlineStr">
        <is>
          <t>NÄSSJÖ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45734</v>
      </c>
      <c r="E206" s="1" t="n">
        <v>46307</v>
      </c>
      <c r="F206" t="inlineStr">
        <is>
          <t>JÖNKÖPINGS LÄN</t>
        </is>
      </c>
      <c r="G206" t="inlineStr">
        <is>
          <t>NÄSSJÖ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46307</v>
      </c>
      <c r="F207" t="inlineStr">
        <is>
          <t>JÖNKÖPINGS LÄN</t>
        </is>
      </c>
      <c r="G207" t="inlineStr">
        <is>
          <t>NÄSSJÖ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46307</v>
      </c>
      <c r="F208" t="inlineStr">
        <is>
          <t>JÖNKÖPINGS LÄN</t>
        </is>
      </c>
      <c r="G208" t="inlineStr">
        <is>
          <t>NÄSSJÖ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46307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46307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46307</v>
      </c>
      <c r="F211" t="inlineStr">
        <is>
          <t>JÖNKÖPINGS LÄN</t>
        </is>
      </c>
      <c r="G211" t="inlineStr">
        <is>
          <t>NÄSSJÖ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45904</v>
      </c>
      <c r="E212" s="1" t="n">
        <v>46307</v>
      </c>
      <c r="F212" t="inlineStr">
        <is>
          <t>JÖNKÖPINGS LÄN</t>
        </is>
      </c>
      <c r="G212" t="inlineStr">
        <is>
          <t>NÄSSJÖ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46307</v>
      </c>
      <c r="F213" t="inlineStr">
        <is>
          <t>JÖNKÖPINGS LÄN</t>
        </is>
      </c>
      <c r="G213" t="inlineStr">
        <is>
          <t>NÄSSJÖ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45873</v>
      </c>
      <c r="E214" s="1" t="n">
        <v>46307</v>
      </c>
      <c r="F214" t="inlineStr">
        <is>
          <t>JÖNKÖPINGS LÄN</t>
        </is>
      </c>
      <c r="G214" t="inlineStr">
        <is>
          <t>NÄSSJÖ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45907</v>
      </c>
      <c r="E215" s="1" t="n">
        <v>46307</v>
      </c>
      <c r="F215" t="inlineStr">
        <is>
          <t>JÖNKÖPINGS LÄN</t>
        </is>
      </c>
      <c r="G215" t="inlineStr">
        <is>
          <t>NÄSSJÖ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45907</v>
      </c>
      <c r="E216" s="1" t="n">
        <v>46307</v>
      </c>
      <c r="F216" t="inlineStr">
        <is>
          <t>JÖNKÖPINGS LÄN</t>
        </is>
      </c>
      <c r="G216" t="inlineStr">
        <is>
          <t>NÄSSJÖ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46307</v>
      </c>
      <c r="F217" t="inlineStr">
        <is>
          <t>JÖNKÖPINGS LÄN</t>
        </is>
      </c>
      <c r="G217" t="inlineStr">
        <is>
          <t>NÄSSJÖ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46307</v>
      </c>
      <c r="F218" t="inlineStr">
        <is>
          <t>JÖNKÖPINGS LÄN</t>
        </is>
      </c>
      <c r="G218" t="inlineStr">
        <is>
          <t>NÄSSJÖ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46307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46307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46307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46307</v>
      </c>
      <c r="F222" t="inlineStr">
        <is>
          <t>JÖNKÖPINGS LÄN</t>
        </is>
      </c>
      <c r="G222" t="inlineStr">
        <is>
          <t>NÄSSJÖ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46307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46307</v>
      </c>
      <c r="F224" t="inlineStr">
        <is>
          <t>JÖNKÖPINGS LÄN</t>
        </is>
      </c>
      <c r="G224" t="inlineStr">
        <is>
          <t>NÄSSJÖ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46307</v>
      </c>
      <c r="F225" t="inlineStr">
        <is>
          <t>JÖNKÖPINGS LÄN</t>
        </is>
      </c>
      <c r="G225" t="inlineStr">
        <is>
          <t>NÄSSJÖ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46307</v>
      </c>
      <c r="F226" t="inlineStr">
        <is>
          <t>JÖNKÖPINGS LÄN</t>
        </is>
      </c>
      <c r="G226" t="inlineStr">
        <is>
          <t>NÄSSJÖ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45275</v>
      </c>
      <c r="E227" s="1" t="n">
        <v>46307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46307</v>
      </c>
      <c r="F228" t="inlineStr">
        <is>
          <t>JÖNKÖPINGS LÄN</t>
        </is>
      </c>
      <c r="G228" t="inlineStr">
        <is>
          <t>NÄSSJÖ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45109</v>
      </c>
      <c r="E229" s="1" t="n">
        <v>46307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46307</v>
      </c>
      <c r="F230" t="inlineStr">
        <is>
          <t>JÖNKÖPINGS LÄN</t>
        </is>
      </c>
      <c r="G230" t="inlineStr">
        <is>
          <t>NÄSSJÖ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46307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46307</v>
      </c>
      <c r="F232" t="inlineStr">
        <is>
          <t>JÖNKÖPINGS LÄN</t>
        </is>
      </c>
      <c r="G232" t="inlineStr">
        <is>
          <t>NÄSSJÖ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44609</v>
      </c>
      <c r="E233" s="1" t="n">
        <v>46307</v>
      </c>
      <c r="F233" t="inlineStr">
        <is>
          <t>JÖNKÖPINGS LÄN</t>
        </is>
      </c>
      <c r="G233" t="inlineStr">
        <is>
          <t>NÄSSJÖ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46307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45148</v>
      </c>
      <c r="E235" s="1" t="n">
        <v>46307</v>
      </c>
      <c r="F235" t="inlineStr">
        <is>
          <t>JÖNKÖPINGS LÄN</t>
        </is>
      </c>
      <c r="G235" t="inlineStr">
        <is>
          <t>NÄSSJÖ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46307</v>
      </c>
      <c r="F236" t="inlineStr">
        <is>
          <t>JÖNKÖPINGS LÄN</t>
        </is>
      </c>
      <c r="G236" t="inlineStr">
        <is>
          <t>NÄSSJÖ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46307</v>
      </c>
      <c r="F237" t="inlineStr">
        <is>
          <t>JÖNKÖPINGS LÄN</t>
        </is>
      </c>
      <c r="G237" t="inlineStr">
        <is>
          <t>NÄSSJÖ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49662-2023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46307</v>
      </c>
      <c r="F238" t="inlineStr">
        <is>
          <t>JÖNKÖPINGS LÄN</t>
        </is>
      </c>
      <c r="G238" t="inlineStr">
        <is>
          <t>NÄSSJÖ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46307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45917</v>
      </c>
      <c r="E240" s="1" t="n">
        <v>46307</v>
      </c>
      <c r="F240" t="inlineStr">
        <is>
          <t>JÖNKÖPINGS LÄN</t>
        </is>
      </c>
      <c r="G240" t="inlineStr">
        <is>
          <t>NÄSSJÖ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46307</v>
      </c>
      <c r="F241" t="inlineStr">
        <is>
          <t>JÖNKÖPINGS LÄN</t>
        </is>
      </c>
      <c r="G241" t="inlineStr">
        <is>
          <t>NÄSSJÖ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46307</v>
      </c>
      <c r="F242" t="inlineStr">
        <is>
          <t>JÖNKÖPINGS LÄN</t>
        </is>
      </c>
      <c r="G242" t="inlineStr">
        <is>
          <t>NÄSSJÖ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45599</v>
      </c>
      <c r="E243" s="1" t="n">
        <v>46307</v>
      </c>
      <c r="F243" t="inlineStr">
        <is>
          <t>JÖNKÖPINGS LÄN</t>
        </is>
      </c>
      <c r="G243" t="inlineStr">
        <is>
          <t>NÄSSJÖ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46307</v>
      </c>
      <c r="F244" t="inlineStr">
        <is>
          <t>JÖNKÖPINGS LÄN</t>
        </is>
      </c>
      <c r="G244" t="inlineStr">
        <is>
          <t>NÄSSJÖ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46307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46307</v>
      </c>
      <c r="F246" t="inlineStr">
        <is>
          <t>JÖNKÖPINGS LÄN</t>
        </is>
      </c>
      <c r="G246" t="inlineStr">
        <is>
          <t>NÄSSJÖ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45742</v>
      </c>
      <c r="E247" s="1" t="n">
        <v>46307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46307</v>
      </c>
      <c r="F248" t="inlineStr">
        <is>
          <t>JÖNKÖPINGS LÄN</t>
        </is>
      </c>
      <c r="G248" t="inlineStr">
        <is>
          <t>NÄSSJÖ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31172-2024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45503</v>
      </c>
      <c r="E249" s="1" t="n">
        <v>46307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45118</v>
      </c>
      <c r="E250" s="1" t="n">
        <v>46307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45320</v>
      </c>
      <c r="E251" s="1" t="n">
        <v>46307</v>
      </c>
      <c r="F251" t="inlineStr">
        <is>
          <t>JÖNKÖPINGS LÄN</t>
        </is>
      </c>
      <c r="G251" t="inlineStr">
        <is>
          <t>NÄSSJÖ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46307</v>
      </c>
      <c r="F252" t="inlineStr">
        <is>
          <t>JÖNKÖPINGS LÄN</t>
        </is>
      </c>
      <c r="G252" t="inlineStr">
        <is>
          <t>NÄSSJÖ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45031</v>
      </c>
      <c r="E253" s="1" t="n">
        <v>46307</v>
      </c>
      <c r="F253" t="inlineStr">
        <is>
          <t>JÖNKÖPINGS LÄN</t>
        </is>
      </c>
      <c r="G253" t="inlineStr">
        <is>
          <t>NÄSSJÖ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46307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46307</v>
      </c>
      <c r="F255" t="inlineStr">
        <is>
          <t>JÖNKÖPINGS LÄN</t>
        </is>
      </c>
      <c r="G255" t="inlineStr">
        <is>
          <t>NÄSSJÖ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45419</v>
      </c>
      <c r="E256" s="1" t="n">
        <v>46307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46307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46307</v>
      </c>
      <c r="F258" t="inlineStr">
        <is>
          <t>JÖNKÖPINGS LÄN</t>
        </is>
      </c>
      <c r="G258" t="inlineStr">
        <is>
          <t>NÄSSJÖ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46307</v>
      </c>
      <c r="F259" t="inlineStr">
        <is>
          <t>JÖNKÖPINGS LÄN</t>
        </is>
      </c>
      <c r="G259" t="inlineStr">
        <is>
          <t>NÄSSJÖ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45212</v>
      </c>
      <c r="E260" s="1" t="n">
        <v>46307</v>
      </c>
      <c r="F260" t="inlineStr">
        <is>
          <t>JÖNKÖPINGS LÄN</t>
        </is>
      </c>
      <c r="G260" t="inlineStr">
        <is>
          <t>NÄSSJÖ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46307</v>
      </c>
      <c r="F261" t="inlineStr">
        <is>
          <t>JÖNKÖPINGS LÄN</t>
        </is>
      </c>
      <c r="G261" t="inlineStr">
        <is>
          <t>NÄSSJÖ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46307</v>
      </c>
      <c r="F262" t="inlineStr">
        <is>
          <t>JÖNKÖPINGS LÄN</t>
        </is>
      </c>
      <c r="G262" t="inlineStr">
        <is>
          <t>NÄSSJÖ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46307</v>
      </c>
      <c r="F263" t="inlineStr">
        <is>
          <t>JÖNKÖPINGS LÄN</t>
        </is>
      </c>
      <c r="G263" t="inlineStr">
        <is>
          <t>NÄSSJÖ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46307</v>
      </c>
      <c r="F264" t="inlineStr">
        <is>
          <t>JÖNKÖPINGS LÄN</t>
        </is>
      </c>
      <c r="G264" t="inlineStr">
        <is>
          <t>NÄSSJÖ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45573</v>
      </c>
      <c r="E265" s="1" t="n">
        <v>46307</v>
      </c>
      <c r="F265" t="inlineStr">
        <is>
          <t>JÖNKÖPINGS LÄN</t>
        </is>
      </c>
      <c r="G265" t="inlineStr">
        <is>
          <t>NÄSSJÖ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45795</v>
      </c>
      <c r="E266" s="1" t="n">
        <v>46307</v>
      </c>
      <c r="F266" t="inlineStr">
        <is>
          <t>JÖNKÖPINGS LÄN</t>
        </is>
      </c>
      <c r="G266" t="inlineStr">
        <is>
          <t>NÄSSJÖ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45795</v>
      </c>
      <c r="E267" s="1" t="n">
        <v>46307</v>
      </c>
      <c r="F267" t="inlineStr">
        <is>
          <t>JÖNKÖPINGS LÄN</t>
        </is>
      </c>
      <c r="G267" t="inlineStr">
        <is>
          <t>NÄSSJÖ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46307</v>
      </c>
      <c r="F268" t="inlineStr">
        <is>
          <t>JÖNKÖPINGS LÄN</t>
        </is>
      </c>
      <c r="G268" t="inlineStr">
        <is>
          <t>NÄSSJÖ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46307</v>
      </c>
      <c r="F269" t="inlineStr">
        <is>
          <t>JÖNKÖPINGS LÄN</t>
        </is>
      </c>
      <c r="G269" t="inlineStr">
        <is>
          <t>NÄSSJÖ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46307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46307</v>
      </c>
      <c r="F271" t="inlineStr">
        <is>
          <t>JÖNKÖPINGS LÄN</t>
        </is>
      </c>
      <c r="G271" t="inlineStr">
        <is>
          <t>NÄSSJÖ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46307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46307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45723</v>
      </c>
      <c r="E274" s="1" t="n">
        <v>46307</v>
      </c>
      <c r="F274" t="inlineStr">
        <is>
          <t>JÖNKÖPINGS LÄN</t>
        </is>
      </c>
      <c r="G274" t="inlineStr">
        <is>
          <t>NÄSSJÖ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46307</v>
      </c>
      <c r="F275" t="inlineStr">
        <is>
          <t>JÖNKÖPINGS LÄN</t>
        </is>
      </c>
      <c r="G275" t="inlineStr">
        <is>
          <t>NÄSSJÖ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46307</v>
      </c>
      <c r="F276" t="inlineStr">
        <is>
          <t>JÖNKÖPINGS LÄN</t>
        </is>
      </c>
      <c r="G276" t="inlineStr">
        <is>
          <t>NÄSSJÖ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46307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46307</v>
      </c>
      <c r="F278" t="inlineStr">
        <is>
          <t>JÖNKÖPINGS LÄN</t>
        </is>
      </c>
      <c r="G278" t="inlineStr">
        <is>
          <t>NÄSSJÖ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49880-2023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45213</v>
      </c>
      <c r="E279" s="1" t="n">
        <v>46307</v>
      </c>
      <c r="F279" t="inlineStr">
        <is>
          <t>JÖNKÖPINGS LÄN</t>
        </is>
      </c>
      <c r="G279" t="inlineStr">
        <is>
          <t>NÄSSJÖ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46307</v>
      </c>
      <c r="F280" t="inlineStr">
        <is>
          <t>JÖNKÖPINGS LÄN</t>
        </is>
      </c>
      <c r="G280" t="inlineStr">
        <is>
          <t>NÄSSJÖ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44594</v>
      </c>
      <c r="E281" s="1" t="n">
        <v>46307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46307</v>
      </c>
      <c r="F282" t="inlineStr">
        <is>
          <t>JÖNKÖPINGS LÄN</t>
        </is>
      </c>
      <c r="G282" t="inlineStr">
        <is>
          <t>NÄSSJÖ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45267</v>
      </c>
      <c r="E283" s="1" t="n">
        <v>46307</v>
      </c>
      <c r="F283" t="inlineStr">
        <is>
          <t>JÖNKÖPINGS LÄN</t>
        </is>
      </c>
      <c r="G283" t="inlineStr">
        <is>
          <t>NÄSSJÖ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46307</v>
      </c>
      <c r="F284" t="inlineStr">
        <is>
          <t>JÖNKÖPINGS LÄN</t>
        </is>
      </c>
      <c r="G284" t="inlineStr">
        <is>
          <t>NÄSSJÖ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46307</v>
      </c>
      <c r="F285" t="inlineStr">
        <is>
          <t>JÖNKÖPINGS LÄN</t>
        </is>
      </c>
      <c r="G285" t="inlineStr">
        <is>
          <t>NÄSSJÖ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46307</v>
      </c>
      <c r="F286" t="inlineStr">
        <is>
          <t>JÖNKÖPINGS LÄN</t>
        </is>
      </c>
      <c r="G286" t="inlineStr">
        <is>
          <t>NÄSSJÖ</t>
        </is>
      </c>
      <c r="H286" t="inlineStr">
        <is>
          <t>Sveaskog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46307</v>
      </c>
      <c r="F287" t="inlineStr">
        <is>
          <t>JÖNKÖPINGS LÄN</t>
        </is>
      </c>
      <c r="G287" t="inlineStr">
        <is>
          <t>NÄSSJÖ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46307</v>
      </c>
      <c r="F288" t="inlineStr">
        <is>
          <t>JÖNKÖPINGS LÄN</t>
        </is>
      </c>
      <c r="G288" t="inlineStr">
        <is>
          <t>NÄSSJÖ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45209</v>
      </c>
      <c r="E289" s="1" t="n">
        <v>46307</v>
      </c>
      <c r="F289" t="inlineStr">
        <is>
          <t>JÖNKÖPINGS LÄN</t>
        </is>
      </c>
      <c r="G289" t="inlineStr">
        <is>
          <t>NÄSSJÖ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46307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46307</v>
      </c>
      <c r="F291" t="inlineStr">
        <is>
          <t>JÖNKÖPINGS LÄN</t>
        </is>
      </c>
      <c r="G291" t="inlineStr">
        <is>
          <t>NÄSSJÖ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46307</v>
      </c>
      <c r="F292" t="inlineStr">
        <is>
          <t>JÖNKÖPINGS LÄN</t>
        </is>
      </c>
      <c r="G292" t="inlineStr">
        <is>
          <t>NÄSSJÖ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46307</v>
      </c>
      <c r="F293" t="inlineStr">
        <is>
          <t>JÖNKÖPINGS LÄN</t>
        </is>
      </c>
      <c r="G293" t="inlineStr">
        <is>
          <t>NÄSSJÖ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46307</v>
      </c>
      <c r="F294" t="inlineStr">
        <is>
          <t>JÖNKÖPINGS LÄN</t>
        </is>
      </c>
      <c r="G294" t="inlineStr">
        <is>
          <t>NÄSSJÖ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44664</v>
      </c>
      <c r="E295" s="1" t="n">
        <v>46307</v>
      </c>
      <c r="F295" t="inlineStr">
        <is>
          <t>JÖNKÖPINGS LÄN</t>
        </is>
      </c>
      <c r="G295" t="inlineStr">
        <is>
          <t>NÄSSJÖ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46307</v>
      </c>
      <c r="F296" t="inlineStr">
        <is>
          <t>JÖNKÖPINGS LÄN</t>
        </is>
      </c>
      <c r="G296" t="inlineStr">
        <is>
          <t>NÄSSJÖ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45398</v>
      </c>
      <c r="E297" s="1" t="n">
        <v>46307</v>
      </c>
      <c r="F297" t="inlineStr">
        <is>
          <t>JÖNKÖPINGS LÄN</t>
        </is>
      </c>
      <c r="G297" t="inlineStr">
        <is>
          <t>NÄSSJÖ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46307</v>
      </c>
      <c r="F298" t="inlineStr">
        <is>
          <t>JÖNKÖPINGS LÄN</t>
        </is>
      </c>
      <c r="G298" t="inlineStr">
        <is>
          <t>NÄSSJÖ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46307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46307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46307</v>
      </c>
      <c r="F301" t="inlineStr">
        <is>
          <t>JÖNKÖPINGS LÄN</t>
        </is>
      </c>
      <c r="G301" t="inlineStr">
        <is>
          <t>NÄSSJÖ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46307</v>
      </c>
      <c r="F302" t="inlineStr">
        <is>
          <t>JÖNKÖPINGS LÄN</t>
        </is>
      </c>
      <c r="G302" t="inlineStr">
        <is>
          <t>NÄSSJÖ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46307</v>
      </c>
      <c r="F303" t="inlineStr">
        <is>
          <t>JÖNKÖPINGS LÄN</t>
        </is>
      </c>
      <c r="G303" t="inlineStr">
        <is>
          <t>NÄSSJÖ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50219-2025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45943</v>
      </c>
      <c r="E304" s="1" t="n">
        <v>46307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46307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46307</v>
      </c>
      <c r="F306" t="inlineStr">
        <is>
          <t>JÖNKÖPINGS LÄN</t>
        </is>
      </c>
      <c r="G306" t="inlineStr">
        <is>
          <t>NÄSSJÖ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45942</v>
      </c>
      <c r="E307" s="1" t="n">
        <v>46307</v>
      </c>
      <c r="F307" t="inlineStr">
        <is>
          <t>JÖNKÖPINGS LÄN</t>
        </is>
      </c>
      <c r="G307" t="inlineStr">
        <is>
          <t>NÄSSJÖ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50439-2025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45944</v>
      </c>
      <c r="E308" s="1" t="n">
        <v>46307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46307</v>
      </c>
      <c r="F309" t="inlineStr">
        <is>
          <t>JÖNKÖPINGS LÄN</t>
        </is>
      </c>
      <c r="G309" t="inlineStr">
        <is>
          <t>NÄSSJÖ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46307</v>
      </c>
      <c r="F310" t="inlineStr">
        <is>
          <t>JÖNKÖPINGS LÄN</t>
        </is>
      </c>
      <c r="G310" t="inlineStr">
        <is>
          <t>NÄSSJÖ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46307</v>
      </c>
      <c r="F311" t="inlineStr">
        <is>
          <t>JÖNKÖPINGS LÄN</t>
        </is>
      </c>
      <c r="G311" t="inlineStr">
        <is>
          <t>NÄSSJÖ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46307</v>
      </c>
      <c r="F312" t="inlineStr">
        <is>
          <t>JÖNKÖPINGS LÄN</t>
        </is>
      </c>
      <c r="G312" t="inlineStr">
        <is>
          <t>NÄSSJÖ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46307</v>
      </c>
      <c r="F313" t="inlineStr">
        <is>
          <t>JÖNKÖPINGS LÄN</t>
        </is>
      </c>
      <c r="G313" t="inlineStr">
        <is>
          <t>NÄSSJÖ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45013</v>
      </c>
      <c r="E314" s="1" t="n">
        <v>46307</v>
      </c>
      <c r="F314" t="inlineStr">
        <is>
          <t>JÖNKÖPINGS LÄN</t>
        </is>
      </c>
      <c r="G314" t="inlineStr">
        <is>
          <t>NÄSSJÖ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46307</v>
      </c>
      <c r="F315" t="inlineStr">
        <is>
          <t>JÖNKÖPINGS LÄN</t>
        </is>
      </c>
      <c r="G315" t="inlineStr">
        <is>
          <t>NÄSSJÖ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46307</v>
      </c>
      <c r="F316" t="inlineStr">
        <is>
          <t>JÖNKÖPINGS LÄN</t>
        </is>
      </c>
      <c r="G316" t="inlineStr">
        <is>
          <t>NÄSSJÖ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45818</v>
      </c>
      <c r="E317" s="1" t="n">
        <v>46307</v>
      </c>
      <c r="F317" t="inlineStr">
        <is>
          <t>JÖNKÖPINGS LÄN</t>
        </is>
      </c>
      <c r="G317" t="inlineStr">
        <is>
          <t>NÄSSJÖ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6402-2023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46307</v>
      </c>
      <c r="F318" t="inlineStr">
        <is>
          <t>JÖNKÖPINGS LÄN</t>
        </is>
      </c>
      <c r="G318" t="inlineStr">
        <is>
          <t>NÄSSJÖ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46307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46307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46307</v>
      </c>
      <c r="F321" t="inlineStr">
        <is>
          <t>JÖNKÖPINGS LÄN</t>
        </is>
      </c>
      <c r="G321" t="inlineStr">
        <is>
          <t>NÄSSJÖ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45821</v>
      </c>
      <c r="E322" s="1" t="n">
        <v>46307</v>
      </c>
      <c r="F322" t="inlineStr">
        <is>
          <t>JÖNKÖPINGS LÄN</t>
        </is>
      </c>
      <c r="G322" t="inlineStr">
        <is>
          <t>NÄSSJÖ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46307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46307</v>
      </c>
      <c r="F324" t="inlineStr">
        <is>
          <t>JÖNKÖPINGS LÄN</t>
        </is>
      </c>
      <c r="G324" t="inlineStr">
        <is>
          <t>NÄSSJÖ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45720</v>
      </c>
      <c r="E325" s="1" t="n">
        <v>46307</v>
      </c>
      <c r="F325" t="inlineStr">
        <is>
          <t>JÖNKÖPINGS LÄN</t>
        </is>
      </c>
      <c r="G325" t="inlineStr">
        <is>
          <t>NÄSSJÖ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46307</v>
      </c>
      <c r="F326" t="inlineStr">
        <is>
          <t>JÖNKÖPINGS LÄN</t>
        </is>
      </c>
      <c r="G326" t="inlineStr">
        <is>
          <t>NÄSSJÖ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46307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44776</v>
      </c>
      <c r="E328" s="1" t="n">
        <v>46307</v>
      </c>
      <c r="F328" t="inlineStr">
        <is>
          <t>JÖNKÖPINGS LÄN</t>
        </is>
      </c>
      <c r="G328" t="inlineStr">
        <is>
          <t>NÄSSJÖ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43695-2023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45187</v>
      </c>
      <c r="E329" s="1" t="n">
        <v>46307</v>
      </c>
      <c r="F329" t="inlineStr">
        <is>
          <t>JÖNKÖPINGS LÄN</t>
        </is>
      </c>
      <c r="G329" t="inlineStr">
        <is>
          <t>NÄSSJÖ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44360-2023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45188</v>
      </c>
      <c r="E330" s="1" t="n">
        <v>46307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45794</v>
      </c>
      <c r="E331" s="1" t="n">
        <v>46307</v>
      </c>
      <c r="F331" t="inlineStr">
        <is>
          <t>JÖNKÖPINGS LÄN</t>
        </is>
      </c>
      <c r="G331" t="inlineStr">
        <is>
          <t>NÄSSJÖ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44151-2023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46307</v>
      </c>
      <c r="F332" t="inlineStr">
        <is>
          <t>JÖNKÖPINGS LÄN</t>
        </is>
      </c>
      <c r="G332" t="inlineStr">
        <is>
          <t>NÄSSJÖ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45637</v>
      </c>
      <c r="E333" s="1" t="n">
        <v>46307</v>
      </c>
      <c r="F333" t="inlineStr">
        <is>
          <t>JÖNKÖPINGS LÄN</t>
        </is>
      </c>
      <c r="G333" t="inlineStr">
        <is>
          <t>NÄSSJÖ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46307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46307</v>
      </c>
      <c r="F335" t="inlineStr">
        <is>
          <t>JÖNKÖPINGS LÄN</t>
        </is>
      </c>
      <c r="G335" t="inlineStr">
        <is>
          <t>NÄSSJÖ</t>
        </is>
      </c>
      <c r="I335" t="n">
        <v>11.8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46307</v>
      </c>
      <c r="F336" t="inlineStr">
        <is>
          <t>JÖNKÖPINGS LÄN</t>
        </is>
      </c>
      <c r="G336" t="inlineStr">
        <is>
          <t>NÄSSJÖ</t>
        </is>
      </c>
      <c r="I336" t="n">
        <v>11.3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46307</v>
      </c>
      <c r="F337" t="inlineStr">
        <is>
          <t>JÖNKÖPINGS LÄN</t>
        </is>
      </c>
      <c r="G337" t="inlineStr">
        <is>
          <t>NÄSSJÖ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45631</v>
      </c>
      <c r="E338" s="1" t="n">
        <v>46307</v>
      </c>
      <c r="F338" t="inlineStr">
        <is>
          <t>JÖNKÖPINGS LÄN</t>
        </is>
      </c>
      <c r="G338" t="inlineStr">
        <is>
          <t>NÄSSJÖ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45702</v>
      </c>
      <c r="E339" s="1" t="n">
        <v>46307</v>
      </c>
      <c r="F339" t="inlineStr">
        <is>
          <t>JÖNKÖPINGS LÄN</t>
        </is>
      </c>
      <c r="G339" t="inlineStr">
        <is>
          <t>NÄSSJÖ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46307</v>
      </c>
      <c r="F340" t="inlineStr">
        <is>
          <t>JÖNKÖPINGS LÄN</t>
        </is>
      </c>
      <c r="G340" t="inlineStr">
        <is>
          <t>NÄSSJÖ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46307</v>
      </c>
      <c r="F341" t="inlineStr">
        <is>
          <t>JÖNKÖPINGS LÄN</t>
        </is>
      </c>
      <c r="G341" t="inlineStr">
        <is>
          <t>NÄSSJÖ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46307</v>
      </c>
      <c r="F342" t="inlineStr">
        <is>
          <t>JÖNKÖPINGS LÄN</t>
        </is>
      </c>
      <c r="G342" t="inlineStr">
        <is>
          <t>NÄSSJÖ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46307</v>
      </c>
      <c r="F343" t="inlineStr">
        <is>
          <t>JÖNKÖPINGS LÄN</t>
        </is>
      </c>
      <c r="G343" t="inlineStr">
        <is>
          <t>NÄSSJÖ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46307</v>
      </c>
      <c r="F344" t="inlineStr">
        <is>
          <t>JÖNKÖPINGS LÄN</t>
        </is>
      </c>
      <c r="G344" t="inlineStr">
        <is>
          <t>NÄSSJÖ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46307</v>
      </c>
      <c r="F345" t="inlineStr">
        <is>
          <t>JÖNKÖPINGS LÄN</t>
        </is>
      </c>
      <c r="G345" t="inlineStr">
        <is>
          <t>NÄSSJÖ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46307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45843</v>
      </c>
      <c r="E347" s="1" t="n">
        <v>46307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46307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45843</v>
      </c>
      <c r="E349" s="1" t="n">
        <v>46307</v>
      </c>
      <c r="F349" t="inlineStr">
        <is>
          <t>JÖNKÖPINGS LÄN</t>
        </is>
      </c>
      <c r="G349" t="inlineStr">
        <is>
          <t>NÄSSJÖ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45309</v>
      </c>
      <c r="E350" s="1" t="n">
        <v>46307</v>
      </c>
      <c r="F350" t="inlineStr">
        <is>
          <t>JÖNKÖPINGS LÄN</t>
        </is>
      </c>
      <c r="G350" t="inlineStr">
        <is>
          <t>NÄSSJÖ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46307</v>
      </c>
      <c r="F351" t="inlineStr">
        <is>
          <t>JÖNKÖPINGS LÄN</t>
        </is>
      </c>
      <c r="G351" t="inlineStr">
        <is>
          <t>NÄSSJÖ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46307</v>
      </c>
      <c r="F352" t="inlineStr">
        <is>
          <t>JÖNKÖPINGS LÄN</t>
        </is>
      </c>
      <c r="G352" t="inlineStr">
        <is>
          <t>NÄSSJÖ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46307</v>
      </c>
      <c r="F353" t="inlineStr">
        <is>
          <t>JÖNKÖPINGS LÄN</t>
        </is>
      </c>
      <c r="G353" t="inlineStr">
        <is>
          <t>NÄSSJÖ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46307</v>
      </c>
      <c r="F354" t="inlineStr">
        <is>
          <t>JÖNKÖPINGS LÄN</t>
        </is>
      </c>
      <c r="G354" t="inlineStr">
        <is>
          <t>NÄSSJÖ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46307</v>
      </c>
      <c r="F355" t="inlineStr">
        <is>
          <t>JÖNKÖPINGS LÄN</t>
        </is>
      </c>
      <c r="G355" t="inlineStr">
        <is>
          <t>NÄSSJÖ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58236-2023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46307</v>
      </c>
      <c r="F356" t="inlineStr">
        <is>
          <t>JÖNKÖPINGS LÄN</t>
        </is>
      </c>
      <c r="G356" t="inlineStr">
        <is>
          <t>NÄSSJÖ</t>
        </is>
      </c>
      <c r="H356" t="inlineStr">
        <is>
          <t>Kommuner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44974</v>
      </c>
      <c r="E357" s="1" t="n">
        <v>46307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46307</v>
      </c>
      <c r="F358" t="inlineStr">
        <is>
          <t>JÖNKÖPINGS LÄN</t>
        </is>
      </c>
      <c r="G358" t="inlineStr">
        <is>
          <t>NÄSSJÖ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45215</v>
      </c>
      <c r="E359" s="1" t="n">
        <v>46307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44985</v>
      </c>
      <c r="E360" s="1" t="n">
        <v>46307</v>
      </c>
      <c r="F360" t="inlineStr">
        <is>
          <t>JÖNKÖPINGS LÄN</t>
        </is>
      </c>
      <c r="G360" t="inlineStr">
        <is>
          <t>NÄSSJÖ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9943-2025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45719</v>
      </c>
      <c r="E361" s="1" t="n">
        <v>46307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46307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10500-2025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45721</v>
      </c>
      <c r="E363" s="1" t="n">
        <v>46307</v>
      </c>
      <c r="F363" t="inlineStr">
        <is>
          <t>JÖNKÖPINGS LÄN</t>
        </is>
      </c>
      <c r="G363" t="inlineStr">
        <is>
          <t>NÄSSJÖ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45694</v>
      </c>
      <c r="E364" s="1" t="n">
        <v>46307</v>
      </c>
      <c r="F364" t="inlineStr">
        <is>
          <t>JÖNKÖPINGS LÄN</t>
        </is>
      </c>
      <c r="G364" t="inlineStr">
        <is>
          <t>NÄSSJÖ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46307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46307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46307</v>
      </c>
      <c r="F367" t="inlineStr">
        <is>
          <t>JÖNKÖPINGS LÄN</t>
        </is>
      </c>
      <c r="G367" t="inlineStr">
        <is>
          <t>NÄSSJÖ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44826</v>
      </c>
      <c r="E368" s="1" t="n">
        <v>46307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46307</v>
      </c>
      <c r="F369" t="inlineStr">
        <is>
          <t>JÖNKÖPINGS LÄN</t>
        </is>
      </c>
      <c r="G369" t="inlineStr">
        <is>
          <t>NÄSSJÖ</t>
        </is>
      </c>
      <c r="H369" t="inlineStr">
        <is>
          <t>Kyrkan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35811-2023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45148</v>
      </c>
      <c r="E370" s="1" t="n">
        <v>46307</v>
      </c>
      <c r="F370" t="inlineStr">
        <is>
          <t>JÖNKÖPINGS LÄN</t>
        </is>
      </c>
      <c r="G370" t="inlineStr">
        <is>
          <t>NÄSSJÖ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45361</v>
      </c>
      <c r="E371" s="1" t="n">
        <v>46307</v>
      </c>
      <c r="F371" t="inlineStr">
        <is>
          <t>JÖNKÖPINGS LÄN</t>
        </is>
      </c>
      <c r="G371" t="inlineStr">
        <is>
          <t>NÄSSJÖ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46307</v>
      </c>
      <c r="F372" t="inlineStr">
        <is>
          <t>JÖNKÖPINGS LÄN</t>
        </is>
      </c>
      <c r="G372" t="inlineStr">
        <is>
          <t>NÄSSJÖ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HYPERLINK("https://klasma.github.io/Logging_0682/knärot/A 56586-2025 karta knärot.png", "A 56586-2025")</f>
        <v/>
      </c>
      <c r="AA372">
        <f>HYPERLINK("https://klasma.github.io/Logging_0682/klagomål/A 56586-2025 FSC-klagomål.docx", "A 56586-2025")</f>
        <v/>
      </c>
      <c r="AB372">
        <f>HYPERLINK("https://klasma.github.io/Logging_0682/klagomålsmail/A 56586-2025 FSC-klagomål mail.docx", "A 56586-2025")</f>
        <v/>
      </c>
      <c r="AC372">
        <f>HYPERLINK("https://klasma.github.io/Logging_0682/tillsyn/A 56586-2025 tillsynsbegäran.docx", "A 56586-2025")</f>
        <v/>
      </c>
      <c r="AD372">
        <f>HYPERLINK("https://klasma.github.io/Logging_0682/tillsynsmail/A 56586-2025 tillsynsbegäran mail.docx", "A 56586-2025")</f>
        <v/>
      </c>
    </row>
    <row r="373" ht="15" customHeight="1">
      <c r="A373" t="inlineStr">
        <is>
          <t>A 49878-2023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46307</v>
      </c>
      <c r="F373" t="inlineStr">
        <is>
          <t>JÖNKÖPINGS LÄN</t>
        </is>
      </c>
      <c r="G373" t="inlineStr">
        <is>
          <t>NÄSSJÖ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45734</v>
      </c>
      <c r="E374" s="1" t="n">
        <v>46307</v>
      </c>
      <c r="F374" t="inlineStr">
        <is>
          <t>JÖNKÖPINGS LÄN</t>
        </is>
      </c>
      <c r="G374" t="inlineStr">
        <is>
          <t>NÄSSJÖ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46307</v>
      </c>
      <c r="F375" t="inlineStr">
        <is>
          <t>JÖNKÖPINGS LÄN</t>
        </is>
      </c>
      <c r="G375" t="inlineStr">
        <is>
          <t>NÄSSJÖ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46307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45732</v>
      </c>
      <c r="E377" s="1" t="n">
        <v>46307</v>
      </c>
      <c r="F377" t="inlineStr">
        <is>
          <t>JÖNKÖPINGS LÄN</t>
        </is>
      </c>
      <c r="G377" t="inlineStr">
        <is>
          <t>NÄSSJÖ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46307</v>
      </c>
      <c r="F378" t="inlineStr">
        <is>
          <t>JÖNKÖPINGS LÄN</t>
        </is>
      </c>
      <c r="G378" t="inlineStr">
        <is>
          <t>NÄSSJÖ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36604-2022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44804</v>
      </c>
      <c r="E379" s="1" t="n">
        <v>46307</v>
      </c>
      <c r="F379" t="inlineStr">
        <is>
          <t>JÖNKÖPINGS LÄN</t>
        </is>
      </c>
      <c r="G379" t="inlineStr">
        <is>
          <t>NÄSSJÖ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44956</v>
      </c>
      <c r="E380" s="1" t="n">
        <v>46307</v>
      </c>
      <c r="F380" t="inlineStr">
        <is>
          <t>JÖNKÖPINGS LÄN</t>
        </is>
      </c>
      <c r="G380" t="inlineStr">
        <is>
          <t>NÄSSJÖ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44874</v>
      </c>
      <c r="E381" s="1" t="n">
        <v>46307</v>
      </c>
      <c r="F381" t="inlineStr">
        <is>
          <t>JÖNKÖPINGS LÄN</t>
        </is>
      </c>
      <c r="G381" t="inlineStr">
        <is>
          <t>NÄSSJÖ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63741-2023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45277</v>
      </c>
      <c r="E382" s="1" t="n">
        <v>46307</v>
      </c>
      <c r="F382" t="inlineStr">
        <is>
          <t>JÖNKÖPINGS LÄN</t>
        </is>
      </c>
      <c r="G382" t="inlineStr">
        <is>
          <t>NÄSSJÖ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46307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46307</v>
      </c>
      <c r="F384" t="inlineStr">
        <is>
          <t>JÖNKÖPINGS LÄN</t>
        </is>
      </c>
      <c r="G384" t="inlineStr">
        <is>
          <t>NÄSSJÖ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46307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45259</v>
      </c>
      <c r="E386" s="1" t="n">
        <v>46307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46307</v>
      </c>
      <c r="F387" t="inlineStr">
        <is>
          <t>JÖNKÖPINGS LÄN</t>
        </is>
      </c>
      <c r="G387" t="inlineStr">
        <is>
          <t>NÄSSJÖ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45732</v>
      </c>
      <c r="E388" s="1" t="n">
        <v>46307</v>
      </c>
      <c r="F388" t="inlineStr">
        <is>
          <t>JÖNKÖPINGS LÄN</t>
        </is>
      </c>
      <c r="G388" t="inlineStr">
        <is>
          <t>NÄSSJÖ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46307</v>
      </c>
      <c r="F389" t="inlineStr">
        <is>
          <t>JÖNKÖPINGS LÄN</t>
        </is>
      </c>
      <c r="G389" t="inlineStr">
        <is>
          <t>NÄSSJÖ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45009</v>
      </c>
      <c r="E390" s="1" t="n">
        <v>46307</v>
      </c>
      <c r="F390" t="inlineStr">
        <is>
          <t>JÖNKÖPINGS LÄN</t>
        </is>
      </c>
      <c r="G390" t="inlineStr">
        <is>
          <t>NÄSSJÖ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46307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46307</v>
      </c>
      <c r="F392" t="inlineStr">
        <is>
          <t>JÖNKÖPINGS LÄN</t>
        </is>
      </c>
      <c r="G392" t="inlineStr">
        <is>
          <t>NÄSSJÖ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46307</v>
      </c>
      <c r="F393" t="inlineStr">
        <is>
          <t>JÖNKÖPINGS LÄN</t>
        </is>
      </c>
      <c r="G393" t="inlineStr">
        <is>
          <t>NÄSSJÖ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46307</v>
      </c>
      <c r="F394" t="inlineStr">
        <is>
          <t>JÖNKÖPINGS LÄN</t>
        </is>
      </c>
      <c r="G394" t="inlineStr">
        <is>
          <t>NÄSSJÖ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46307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46307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46098</v>
      </c>
      <c r="E397" s="1" t="n">
        <v>46307</v>
      </c>
      <c r="F397" t="inlineStr">
        <is>
          <t>JÖNKÖPINGS LÄN</t>
        </is>
      </c>
      <c r="G397" t="inlineStr">
        <is>
          <t>NÄSSJÖ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46307</v>
      </c>
      <c r="F398" t="inlineStr">
        <is>
          <t>JÖNKÖPINGS LÄN</t>
        </is>
      </c>
      <c r="G398" t="inlineStr">
        <is>
          <t>NÄSSJÖ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45077</v>
      </c>
      <c r="E399" s="1" t="n">
        <v>46307</v>
      </c>
      <c r="F399" t="inlineStr">
        <is>
          <t>JÖNKÖPINGS LÄN</t>
        </is>
      </c>
      <c r="G399" t="inlineStr">
        <is>
          <t>NÄSSJÖ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46307</v>
      </c>
      <c r="F400" t="inlineStr">
        <is>
          <t>JÖNKÖPINGS LÄN</t>
        </is>
      </c>
      <c r="G400" t="inlineStr">
        <is>
          <t>NÄSSJÖ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46307</v>
      </c>
      <c r="F401" t="inlineStr">
        <is>
          <t>JÖNKÖPINGS LÄN</t>
        </is>
      </c>
      <c r="G401" t="inlineStr">
        <is>
          <t>NÄSSJÖ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46307</v>
      </c>
      <c r="F402" t="inlineStr">
        <is>
          <t>JÖNKÖPINGS LÄN</t>
        </is>
      </c>
      <c r="G402" t="inlineStr">
        <is>
          <t>NÄSSJÖ</t>
        </is>
      </c>
      <c r="H402" t="inlineStr">
        <is>
          <t>Kommuner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46307</v>
      </c>
      <c r="F403" t="inlineStr">
        <is>
          <t>JÖNKÖPINGS LÄN</t>
        </is>
      </c>
      <c r="G403" t="inlineStr">
        <is>
          <t>NÄSSJÖ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46307</v>
      </c>
      <c r="F404" t="inlineStr">
        <is>
          <t>JÖNKÖPINGS LÄN</t>
        </is>
      </c>
      <c r="G404" t="inlineStr">
        <is>
          <t>NÄSSJÖ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46307</v>
      </c>
      <c r="F405" t="inlineStr">
        <is>
          <t>JÖNKÖPINGS LÄN</t>
        </is>
      </c>
      <c r="G405" t="inlineStr">
        <is>
          <t>NÄSSJÖ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45083</v>
      </c>
      <c r="E406" s="1" t="n">
        <v>46307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46307</v>
      </c>
      <c r="F407" t="inlineStr">
        <is>
          <t>JÖNKÖPINGS LÄN</t>
        </is>
      </c>
      <c r="G407" t="inlineStr">
        <is>
          <t>NÄSSJÖ</t>
        </is>
      </c>
      <c r="H407" t="inlineStr">
        <is>
          <t>Kommuner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46307</v>
      </c>
      <c r="F408" t="inlineStr">
        <is>
          <t>JÖNKÖPINGS LÄN</t>
        </is>
      </c>
      <c r="G408" t="inlineStr">
        <is>
          <t>NÄSSJÖ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46307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44904</v>
      </c>
      <c r="E410" s="1" t="n">
        <v>46307</v>
      </c>
      <c r="F410" t="inlineStr">
        <is>
          <t>JÖNKÖPINGS LÄN</t>
        </is>
      </c>
      <c r="G410" t="inlineStr">
        <is>
          <t>NÄSSJÖ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64057-2023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46307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6726-2025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45700</v>
      </c>
      <c r="E412" s="1" t="n">
        <v>46307</v>
      </c>
      <c r="F412" t="inlineStr">
        <is>
          <t>JÖNKÖPINGS LÄN</t>
        </is>
      </c>
      <c r="G412" t="inlineStr">
        <is>
          <t>NÄSSJÖ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46307</v>
      </c>
      <c r="F413" t="inlineStr">
        <is>
          <t>JÖNKÖPINGS LÄN</t>
        </is>
      </c>
      <c r="G413" t="inlineStr">
        <is>
          <t>NÄSSJÖ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16413-2026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46307</v>
      </c>
      <c r="F414" t="inlineStr">
        <is>
          <t>JÖNKÖPINGS LÄN</t>
        </is>
      </c>
      <c r="G414" t="inlineStr">
        <is>
          <t>NÄSSJÖ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46307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44984</v>
      </c>
      <c r="E416" s="1" t="n">
        <v>46307</v>
      </c>
      <c r="F416" t="inlineStr">
        <is>
          <t>JÖNKÖPINGS LÄN</t>
        </is>
      </c>
      <c r="G416" t="inlineStr">
        <is>
          <t>NÄSSJÖ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16749-2026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46307</v>
      </c>
      <c r="F417" t="inlineStr">
        <is>
          <t>JÖNKÖPINGS LÄN</t>
        </is>
      </c>
      <c r="G417" t="inlineStr">
        <is>
          <t>NÄSSJÖ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45308</v>
      </c>
      <c r="E418" s="1" t="n">
        <v>46307</v>
      </c>
      <c r="F418" t="inlineStr">
        <is>
          <t>JÖNKÖPINGS LÄN</t>
        </is>
      </c>
      <c r="G418" t="inlineStr">
        <is>
          <t>NÄSSJÖ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46307</v>
      </c>
      <c r="F419" t="inlineStr">
        <is>
          <t>JÖNKÖPINGS LÄN</t>
        </is>
      </c>
      <c r="G419" t="inlineStr">
        <is>
          <t>NÄSSJÖ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46120</v>
      </c>
      <c r="E420" s="1" t="n">
        <v>46307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46307</v>
      </c>
      <c r="F421" t="inlineStr">
        <is>
          <t>JÖNKÖPINGS LÄN</t>
        </is>
      </c>
      <c r="G421" t="inlineStr">
        <is>
          <t>NÄSSJÖ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60535-2025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45995</v>
      </c>
      <c r="E422" s="1" t="n">
        <v>46307</v>
      </c>
      <c r="F422" t="inlineStr">
        <is>
          <t>JÖNKÖPINGS LÄN</t>
        </is>
      </c>
      <c r="G422" t="inlineStr">
        <is>
          <t>NÄSSJÖ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46307</v>
      </c>
      <c r="F423" t="inlineStr">
        <is>
          <t>JÖNKÖPINGS LÄN</t>
        </is>
      </c>
      <c r="G423" t="inlineStr">
        <is>
          <t>NÄSSJÖ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53960-2022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46307</v>
      </c>
      <c r="F424" t="inlineStr">
        <is>
          <t>JÖNKÖPINGS LÄN</t>
        </is>
      </c>
      <c r="G424" t="inlineStr">
        <is>
          <t>NÄSSJÖ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46307</v>
      </c>
      <c r="F425" t="inlineStr">
        <is>
          <t>JÖNKÖPINGS LÄN</t>
        </is>
      </c>
      <c r="G425" t="inlineStr">
        <is>
          <t>NÄSSJÖ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39485-2024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46307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46307</v>
      </c>
      <c r="F427" t="inlineStr">
        <is>
          <t>JÖNKÖPINGS LÄN</t>
        </is>
      </c>
      <c r="G427" t="inlineStr">
        <is>
          <t>NÄSSJÖ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46307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46307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44902</v>
      </c>
      <c r="E430" s="1" t="n">
        <v>46307</v>
      </c>
      <c r="F430" t="inlineStr">
        <is>
          <t>JÖNKÖPINGS LÄN</t>
        </is>
      </c>
      <c r="G430" t="inlineStr">
        <is>
          <t>NÄSSJÖ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46000</v>
      </c>
      <c r="E431" s="1" t="n">
        <v>46307</v>
      </c>
      <c r="F431" t="inlineStr">
        <is>
          <t>JÖNKÖPINGS LÄN</t>
        </is>
      </c>
      <c r="G431" t="inlineStr">
        <is>
          <t>NÄSSJÖ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46307</v>
      </c>
      <c r="F432" t="inlineStr">
        <is>
          <t>JÖNKÖPINGS LÄN</t>
        </is>
      </c>
      <c r="G432" t="inlineStr">
        <is>
          <t>NÄSSJÖ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7140-2022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44603</v>
      </c>
      <c r="E433" s="1" t="n">
        <v>46307</v>
      </c>
      <c r="F433" t="inlineStr">
        <is>
          <t>JÖNKÖPINGS LÄN</t>
        </is>
      </c>
      <c r="G433" t="inlineStr">
        <is>
          <t>NÄSSJÖ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71606-2021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44541</v>
      </c>
      <c r="E434" s="1" t="n">
        <v>46307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46307</v>
      </c>
      <c r="F435" t="inlineStr">
        <is>
          <t>JÖNKÖPINGS LÄN</t>
        </is>
      </c>
      <c r="G435" t="inlineStr">
        <is>
          <t>NÄSSJÖ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46307</v>
      </c>
      <c r="F436" t="inlineStr">
        <is>
          <t>JÖNKÖPINGS LÄN</t>
        </is>
      </c>
      <c r="G436" t="inlineStr">
        <is>
          <t>NÄSSJÖ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46307</v>
      </c>
      <c r="F437" t="inlineStr">
        <is>
          <t>JÖNKÖPINGS LÄN</t>
        </is>
      </c>
      <c r="G437" t="inlineStr">
        <is>
          <t>NÄSSJÖ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45671</v>
      </c>
      <c r="E438" s="1" t="n">
        <v>46307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46307</v>
      </c>
      <c r="F439" t="inlineStr">
        <is>
          <t>JÖNKÖPINGS LÄN</t>
        </is>
      </c>
      <c r="G439" t="inlineStr">
        <is>
          <t>NÄSSJÖ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45402</v>
      </c>
      <c r="E440" s="1" t="n">
        <v>46307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46307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46307</v>
      </c>
      <c r="F442" t="inlineStr">
        <is>
          <t>JÖNKÖPINGS LÄN</t>
        </is>
      </c>
      <c r="G442" t="inlineStr">
        <is>
          <t>NÄSSJÖ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45091</v>
      </c>
      <c r="E443" s="1" t="n">
        <v>46307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46307</v>
      </c>
      <c r="F444" t="inlineStr">
        <is>
          <t>JÖNKÖPINGS LÄN</t>
        </is>
      </c>
      <c r="G444" t="inlineStr">
        <is>
          <t>NÄSSJÖ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38792-2025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46307</v>
      </c>
      <c r="F445" t="inlineStr">
        <is>
          <t>JÖNKÖPINGS LÄN</t>
        </is>
      </c>
      <c r="G445" t="inlineStr">
        <is>
          <t>NÄSSJÖ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45412</v>
      </c>
      <c r="E446" s="1" t="n">
        <v>46307</v>
      </c>
      <c r="F446" t="inlineStr">
        <is>
          <t>JÖNKÖPINGS LÄN</t>
        </is>
      </c>
      <c r="G446" t="inlineStr">
        <is>
          <t>NÄSSJÖ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46135</v>
      </c>
      <c r="E447" s="1" t="n">
        <v>46307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46307</v>
      </c>
      <c r="F448" t="inlineStr">
        <is>
          <t>JÖNKÖPINGS LÄN</t>
        </is>
      </c>
      <c r="G448" t="inlineStr">
        <is>
          <t>NÄSSJÖ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45343</v>
      </c>
      <c r="E449" s="1" t="n">
        <v>46307</v>
      </c>
      <c r="F449" t="inlineStr">
        <is>
          <t>JÖNKÖPINGS LÄN</t>
        </is>
      </c>
      <c r="G449" t="inlineStr">
        <is>
          <t>NÄSSJÖ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46307</v>
      </c>
      <c r="F450" t="inlineStr">
        <is>
          <t>JÖNKÖPINGS LÄN</t>
        </is>
      </c>
      <c r="G450" t="inlineStr">
        <is>
          <t>NÄSSJÖ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62583-2023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45270</v>
      </c>
      <c r="E451" s="1" t="n">
        <v>46307</v>
      </c>
      <c r="F451" t="inlineStr">
        <is>
          <t>JÖNKÖPINGS LÄN</t>
        </is>
      </c>
      <c r="G451" t="inlineStr">
        <is>
          <t>NÄSSJÖ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45595</v>
      </c>
      <c r="E452" s="1" t="n">
        <v>46307</v>
      </c>
      <c r="F452" t="inlineStr">
        <is>
          <t>JÖNKÖPINGS LÄN</t>
        </is>
      </c>
      <c r="G452" t="inlineStr">
        <is>
          <t>NÄSSJÖ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45604</v>
      </c>
      <c r="E453" s="1" t="n">
        <v>46307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63987-2025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46021</v>
      </c>
      <c r="E454" s="1" t="n">
        <v>46307</v>
      </c>
      <c r="F454" t="inlineStr">
        <is>
          <t>JÖNKÖPINGS LÄN</t>
        </is>
      </c>
      <c r="G454" t="inlineStr">
        <is>
          <t>NÄSSJÖ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44916</v>
      </c>
      <c r="E455" s="1" t="n">
        <v>46307</v>
      </c>
      <c r="F455" t="inlineStr">
        <is>
          <t>JÖNKÖPINGS LÄN</t>
        </is>
      </c>
      <c r="G455" t="inlineStr">
        <is>
          <t>NÄSSJÖ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12720-2025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46307</v>
      </c>
      <c r="F456" t="inlineStr">
        <is>
          <t>JÖNKÖPINGS LÄN</t>
        </is>
      </c>
      <c r="G456" t="inlineStr">
        <is>
          <t>NÄSSJÖ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46307</v>
      </c>
      <c r="F457" t="inlineStr">
        <is>
          <t>JÖNKÖPINGS LÄN</t>
        </is>
      </c>
      <c r="G457" t="inlineStr">
        <is>
          <t>NÄSSJÖ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45821</v>
      </c>
      <c r="E458" s="1" t="n">
        <v>46307</v>
      </c>
      <c r="F458" t="inlineStr">
        <is>
          <t>JÖNKÖPINGS LÄN</t>
        </is>
      </c>
      <c r="G458" t="inlineStr">
        <is>
          <t>NÄSSJÖ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44873</v>
      </c>
      <c r="E459" s="1" t="n">
        <v>46307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46001</v>
      </c>
      <c r="E460" s="1" t="n">
        <v>46307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45372</v>
      </c>
      <c r="E461" s="1" t="n">
        <v>46307</v>
      </c>
      <c r="F461" t="inlineStr">
        <is>
          <t>JÖNKÖPINGS LÄN</t>
        </is>
      </c>
      <c r="G461" t="inlineStr">
        <is>
          <t>NÄSSJÖ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45980</v>
      </c>
      <c r="E462" s="1" t="n">
        <v>46307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46307</v>
      </c>
      <c r="F463" t="inlineStr">
        <is>
          <t>JÖNKÖPINGS LÄN</t>
        </is>
      </c>
      <c r="G463" t="inlineStr">
        <is>
          <t>NÄSSJÖ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63742-2023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45277</v>
      </c>
      <c r="E464" s="1" t="n">
        <v>46307</v>
      </c>
      <c r="F464" t="inlineStr">
        <is>
          <t>JÖNKÖPINGS LÄN</t>
        </is>
      </c>
      <c r="G464" t="inlineStr">
        <is>
          <t>NÄSSJÖ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46307</v>
      </c>
      <c r="F465" t="inlineStr">
        <is>
          <t>JÖNKÖPINGS LÄN</t>
        </is>
      </c>
      <c r="G465" t="inlineStr">
        <is>
          <t>NÄSSJÖ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44976</v>
      </c>
      <c r="E466" s="1" t="n">
        <v>46307</v>
      </c>
      <c r="F466" t="inlineStr">
        <is>
          <t>JÖNKÖPINGS LÄN</t>
        </is>
      </c>
      <c r="G466" t="inlineStr">
        <is>
          <t>NÄSSJÖ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9279-2023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44980</v>
      </c>
      <c r="E467" s="1" t="n">
        <v>46307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45694</v>
      </c>
      <c r="E468" s="1" t="n">
        <v>46307</v>
      </c>
      <c r="F468" t="inlineStr">
        <is>
          <t>JÖNKÖPINGS LÄN</t>
        </is>
      </c>
      <c r="G468" t="inlineStr">
        <is>
          <t>NÄSSJÖ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46307</v>
      </c>
      <c r="F469" t="inlineStr">
        <is>
          <t>JÖNKÖPINGS LÄN</t>
        </is>
      </c>
      <c r="G469" t="inlineStr">
        <is>
          <t>NÄSSJÖ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46307</v>
      </c>
      <c r="F470" t="inlineStr">
        <is>
          <t>JÖNKÖPINGS LÄN</t>
        </is>
      </c>
      <c r="G470" t="inlineStr">
        <is>
          <t>NÄSSJÖ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46307</v>
      </c>
      <c r="F471" t="inlineStr">
        <is>
          <t>JÖNKÖPINGS LÄN</t>
        </is>
      </c>
      <c r="G471" t="inlineStr">
        <is>
          <t>NÄSSJÖ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57627-2021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44484</v>
      </c>
      <c r="E472" s="1" t="n">
        <v>46307</v>
      </c>
      <c r="F472" t="inlineStr">
        <is>
          <t>JÖNKÖPINGS LÄN</t>
        </is>
      </c>
      <c r="G472" t="inlineStr">
        <is>
          <t>NÄSSJÖ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46307</v>
      </c>
      <c r="F473" t="inlineStr">
        <is>
          <t>JÖNKÖPINGS LÄN</t>
        </is>
      </c>
      <c r="G473" t="inlineStr">
        <is>
          <t>NÄSSJÖ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46307</v>
      </c>
      <c r="F474" t="inlineStr">
        <is>
          <t>JÖNKÖPINGS LÄN</t>
        </is>
      </c>
      <c r="G474" t="inlineStr">
        <is>
          <t>NÄSSJÖ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20606-2026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46140</v>
      </c>
      <c r="E475" s="1" t="n">
        <v>46307</v>
      </c>
      <c r="F475" t="inlineStr">
        <is>
          <t>JÖNKÖPINGS LÄN</t>
        </is>
      </c>
      <c r="G475" t="inlineStr">
        <is>
          <t>NÄSSJÖ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46020</v>
      </c>
      <c r="E476" s="1" t="n">
        <v>46307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46307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46307</v>
      </c>
      <c r="F478" t="inlineStr">
        <is>
          <t>JÖNKÖPINGS LÄN</t>
        </is>
      </c>
      <c r="G478" t="inlineStr">
        <is>
          <t>NÄSSJÖ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46307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46307</v>
      </c>
      <c r="F480" t="inlineStr">
        <is>
          <t>JÖNKÖPINGS LÄN</t>
        </is>
      </c>
      <c r="G480" t="inlineStr">
        <is>
          <t>NÄSSJÖ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46307</v>
      </c>
      <c r="F481" t="inlineStr">
        <is>
          <t>JÖNKÖPINGS LÄN</t>
        </is>
      </c>
      <c r="G481" t="inlineStr">
        <is>
          <t>NÄSSJÖ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46307</v>
      </c>
      <c r="F482" t="inlineStr">
        <is>
          <t>JÖNKÖPINGS LÄN</t>
        </is>
      </c>
      <c r="G482" t="inlineStr">
        <is>
          <t>NÄSSJÖ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46057</v>
      </c>
      <c r="E483" s="1" t="n">
        <v>46307</v>
      </c>
      <c r="F483" t="inlineStr">
        <is>
          <t>JÖNKÖPINGS LÄN</t>
        </is>
      </c>
      <c r="G483" t="inlineStr">
        <is>
          <t>NÄSSJÖ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46307</v>
      </c>
      <c r="F484" t="inlineStr">
        <is>
          <t>JÖNKÖPINGS LÄN</t>
        </is>
      </c>
      <c r="G484" t="inlineStr">
        <is>
          <t>NÄSSJÖ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46307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46061</v>
      </c>
      <c r="E486" s="1" t="n">
        <v>46307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46307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46307</v>
      </c>
      <c r="F488" t="inlineStr">
        <is>
          <t>JÖNKÖPINGS LÄN</t>
        </is>
      </c>
      <c r="G488" t="inlineStr">
        <is>
          <t>NÄSSJÖ</t>
        </is>
      </c>
      <c r="H488" t="inlineStr">
        <is>
          <t>Kyrkan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46307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46307</v>
      </c>
      <c r="F490" t="inlineStr">
        <is>
          <t>JÖNKÖPINGS LÄN</t>
        </is>
      </c>
      <c r="G490" t="inlineStr">
        <is>
          <t>NÄSSJÖ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46074</v>
      </c>
      <c r="E491" s="1" t="n">
        <v>46307</v>
      </c>
      <c r="F491" t="inlineStr">
        <is>
          <t>JÖNKÖPINGS LÄN</t>
        </is>
      </c>
      <c r="G491" t="inlineStr">
        <is>
          <t>NÄSSJÖ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46307</v>
      </c>
      <c r="F492" t="inlineStr">
        <is>
          <t>JÖNKÖPINGS LÄN</t>
        </is>
      </c>
      <c r="G492" t="inlineStr">
        <is>
          <t>NÄSSJÖ</t>
        </is>
      </c>
      <c r="H492" t="inlineStr">
        <is>
          <t>Kyrkan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46307</v>
      </c>
      <c r="F493" t="inlineStr">
        <is>
          <t>JÖNKÖPINGS LÄN</t>
        </is>
      </c>
      <c r="G493" t="inlineStr">
        <is>
          <t>NÄSSJÖ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46307</v>
      </c>
      <c r="F494" t="inlineStr">
        <is>
          <t>JÖNKÖPINGS LÄN</t>
        </is>
      </c>
      <c r="G494" t="inlineStr">
        <is>
          <t>NÄSSJÖ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46307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45742</v>
      </c>
      <c r="E496" s="1" t="n">
        <v>46307</v>
      </c>
      <c r="F496" t="inlineStr">
        <is>
          <t>JÖNKÖPINGS LÄN</t>
        </is>
      </c>
      <c r="G496" t="inlineStr">
        <is>
          <t>NÄSSJÖ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46091</v>
      </c>
      <c r="E497" s="1" t="n">
        <v>46307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12652-2026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46091</v>
      </c>
      <c r="E498" s="1" t="n">
        <v>46307</v>
      </c>
      <c r="F498" t="inlineStr">
        <is>
          <t>JÖNKÖPINGS LÄN</t>
        </is>
      </c>
      <c r="G498" t="inlineStr">
        <is>
          <t>NÄSSJÖ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46307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32542-2025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45838</v>
      </c>
      <c r="E500" s="1" t="n">
        <v>46307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46093</v>
      </c>
      <c r="E501" s="1" t="n">
        <v>46307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46307</v>
      </c>
      <c r="F502" t="inlineStr">
        <is>
          <t>JÖNKÖPINGS LÄN</t>
        </is>
      </c>
      <c r="G502" t="inlineStr">
        <is>
          <t>NÄSSJÖ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46307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46307</v>
      </c>
      <c r="F504" t="inlineStr">
        <is>
          <t>JÖNKÖPINGS LÄN</t>
        </is>
      </c>
      <c r="G504" t="inlineStr">
        <is>
          <t>NÄSSJÖ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46307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24873-2026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46174</v>
      </c>
      <c r="E506" s="1" t="n">
        <v>46307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46307</v>
      </c>
      <c r="F507" t="inlineStr">
        <is>
          <t>JÖNKÖPINGS LÄN</t>
        </is>
      </c>
      <c r="G507" t="inlineStr">
        <is>
          <t>NÄSSJÖ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46307</v>
      </c>
      <c r="F508" t="inlineStr">
        <is>
          <t>JÖNKÖPINGS LÄN</t>
        </is>
      </c>
      <c r="G508" t="inlineStr">
        <is>
          <t>NÄSSJÖ</t>
        </is>
      </c>
      <c r="H508" t="inlineStr">
        <is>
          <t>Sveaskog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46187</v>
      </c>
      <c r="E509" s="1" t="n">
        <v>46307</v>
      </c>
      <c r="F509" t="inlineStr">
        <is>
          <t>JÖNKÖPINGS LÄN</t>
        </is>
      </c>
      <c r="G509" t="inlineStr">
        <is>
          <t>NÄSSJÖ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46187</v>
      </c>
      <c r="E510" s="1" t="n">
        <v>46307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46187</v>
      </c>
      <c r="E511" s="1" t="n">
        <v>46307</v>
      </c>
      <c r="F511" t="inlineStr">
        <is>
          <t>JÖNKÖPINGS LÄN</t>
        </is>
      </c>
      <c r="G511" t="inlineStr">
        <is>
          <t>NÄSSJÖ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46307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46307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46307</v>
      </c>
      <c r="F514" t="inlineStr">
        <is>
          <t>JÖNKÖPINGS LÄN</t>
        </is>
      </c>
      <c r="G514" t="inlineStr">
        <is>
          <t>NÄSSJÖ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46307</v>
      </c>
      <c r="F515" t="inlineStr">
        <is>
          <t>JÖNKÖPINGS LÄN</t>
        </is>
      </c>
      <c r="G515" t="inlineStr">
        <is>
          <t>NÄSSJÖ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46307</v>
      </c>
      <c r="F516" t="inlineStr">
        <is>
          <t>JÖNKÖPINGS LÄN</t>
        </is>
      </c>
      <c r="G516" t="inlineStr">
        <is>
          <t>NÄSSJÖ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28847-2026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46307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28844-2026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46307</v>
      </c>
      <c r="F518" t="inlineStr">
        <is>
          <t>JÖNKÖPINGS LÄN</t>
        </is>
      </c>
      <c r="G518" t="inlineStr">
        <is>
          <t>NÄSSJÖ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46307</v>
      </c>
      <c r="F519" t="inlineStr">
        <is>
          <t>JÖNKÖPINGS LÄN</t>
        </is>
      </c>
      <c r="G519" t="inlineStr">
        <is>
          <t>NÄSSJÖ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46307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46307</v>
      </c>
      <c r="F521" t="inlineStr">
        <is>
          <t>JÖNKÖPINGS LÄN</t>
        </is>
      </c>
      <c r="G521" t="inlineStr">
        <is>
          <t>NÄSSJÖ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46307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46209</v>
      </c>
      <c r="E523" s="1" t="n">
        <v>46307</v>
      </c>
      <c r="F523" t="inlineStr">
        <is>
          <t>JÖNKÖPINGS LÄN</t>
        </is>
      </c>
      <c r="G523" t="inlineStr">
        <is>
          <t>NÄSSJÖ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46209</v>
      </c>
      <c r="E524" s="1" t="n">
        <v>46307</v>
      </c>
      <c r="F524" t="inlineStr">
        <is>
          <t>JÖNKÖPINGS LÄN</t>
        </is>
      </c>
      <c r="G524" t="inlineStr">
        <is>
          <t>NÄSSJÖ</t>
        </is>
      </c>
      <c r="H524" t="inlineStr">
        <is>
          <t>Sveaskog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30382-2026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46209</v>
      </c>
      <c r="E525" s="1" t="n">
        <v>46307</v>
      </c>
      <c r="F525" t="inlineStr">
        <is>
          <t>JÖNKÖPINGS LÄN</t>
        </is>
      </c>
      <c r="G525" t="inlineStr">
        <is>
          <t>NÄSSJÖ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30376-2026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46209</v>
      </c>
      <c r="E526" s="1" t="n">
        <v>46307</v>
      </c>
      <c r="F526" t="inlineStr">
        <is>
          <t>JÖNKÖPINGS LÄN</t>
        </is>
      </c>
      <c r="G526" t="inlineStr">
        <is>
          <t>NÄSSJÖ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46307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46307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46307</v>
      </c>
      <c r="F529" t="inlineStr">
        <is>
          <t>JÖNKÖPINGS LÄN</t>
        </is>
      </c>
      <c r="G529" t="inlineStr">
        <is>
          <t>NÄSSJÖ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46307</v>
      </c>
      <c r="F530" t="inlineStr">
        <is>
          <t>JÖNKÖPINGS LÄN</t>
        </is>
      </c>
      <c r="G530" t="inlineStr">
        <is>
          <t>NÄSSJÖ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46283</v>
      </c>
      <c r="E531" s="1" t="n">
        <v>46307</v>
      </c>
      <c r="F531" t="inlineStr">
        <is>
          <t>JÖNKÖPINGS LÄN</t>
        </is>
      </c>
      <c r="G531" t="inlineStr">
        <is>
          <t>NÄSSJÖ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46307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46243</v>
      </c>
      <c r="E533" s="1" t="n">
        <v>46307</v>
      </c>
      <c r="F533" t="inlineStr">
        <is>
          <t>JÖNKÖPINGS LÄN</t>
        </is>
      </c>
      <c r="G533" t="inlineStr">
        <is>
          <t>NÄSSJÖ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46243</v>
      </c>
      <c r="E534" s="1" t="n">
        <v>46307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46307</v>
      </c>
      <c r="F535" t="inlineStr">
        <is>
          <t>JÖNKÖPINGS LÄN</t>
        </is>
      </c>
      <c r="G535" t="inlineStr">
        <is>
          <t>NÄSSJÖ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46243</v>
      </c>
      <c r="E536" s="1" t="n">
        <v>46307</v>
      </c>
      <c r="F536" t="inlineStr">
        <is>
          <t>JÖNKÖPINGS LÄN</t>
        </is>
      </c>
      <c r="G536" t="inlineStr">
        <is>
          <t>NÄSSJÖ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46243</v>
      </c>
      <c r="E537" s="1" t="n">
        <v>46307</v>
      </c>
      <c r="F537" t="inlineStr">
        <is>
          <t>JÖNKÖPINGS LÄN</t>
        </is>
      </c>
      <c r="G537" t="inlineStr">
        <is>
          <t>NÄSSJÖ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46243</v>
      </c>
      <c r="E538" s="1" t="n">
        <v>46307</v>
      </c>
      <c r="F538" t="inlineStr">
        <is>
          <t>JÖNKÖPINGS LÄN</t>
        </is>
      </c>
      <c r="G538" t="inlineStr">
        <is>
          <t>NÄSSJÖ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46283</v>
      </c>
      <c r="E539" s="1" t="n">
        <v>46307</v>
      </c>
      <c r="F539" t="inlineStr">
        <is>
          <t>JÖNKÖPINGS LÄN</t>
        </is>
      </c>
      <c r="G539" t="inlineStr">
        <is>
          <t>NÄSSJÖ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39215-2026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46307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46290</v>
      </c>
      <c r="E541" s="1" t="n">
        <v>46307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33340-2026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46307</v>
      </c>
      <c r="F542" t="inlineStr">
        <is>
          <t>JÖNKÖPINGS LÄN</t>
        </is>
      </c>
      <c r="G542" t="inlineStr">
        <is>
          <t>NÄSSJÖ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46307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39740-2026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46307</v>
      </c>
      <c r="F544" t="inlineStr">
        <is>
          <t>JÖNKÖPINGS LÄN</t>
        </is>
      </c>
      <c r="G544" t="inlineStr">
        <is>
          <t>NÄSSJÖ</t>
        </is>
      </c>
      <c r="H544" t="inlineStr">
        <is>
          <t>Kyrkan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61302-2025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46307</v>
      </c>
      <c r="F545" t="inlineStr">
        <is>
          <t>JÖNKÖPINGS LÄN</t>
        </is>
      </c>
      <c r="G545" t="inlineStr">
        <is>
          <t>NÄSSJÖ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46294</v>
      </c>
      <c r="E546" s="1" t="n">
        <v>46307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46294</v>
      </c>
      <c r="E547" s="1" t="n">
        <v>46307</v>
      </c>
      <c r="F547" t="inlineStr">
        <is>
          <t>JÖNKÖPINGS LÄN</t>
        </is>
      </c>
      <c r="G547" t="inlineStr">
        <is>
          <t>NÄSSJÖ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46307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46307</v>
      </c>
      <c r="F549" t="inlineStr">
        <is>
          <t>JÖNKÖPINGS LÄN</t>
        </is>
      </c>
      <c r="G549" t="inlineStr">
        <is>
          <t>NÄSSJÖ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46248</v>
      </c>
      <c r="E550" s="1" t="n">
        <v>46307</v>
      </c>
      <c r="F550" t="inlineStr">
        <is>
          <t>JÖNKÖPINGS LÄN</t>
        </is>
      </c>
      <c r="G550" t="inlineStr">
        <is>
          <t>NÄSSJÖ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40541-2026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46295</v>
      </c>
      <c r="E551" s="1" t="n">
        <v>46307</v>
      </c>
      <c r="F551" t="inlineStr">
        <is>
          <t>JÖNKÖPINGS LÄN</t>
        </is>
      </c>
      <c r="G551" t="inlineStr">
        <is>
          <t>NÄSSJÖ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46249</v>
      </c>
      <c r="E552" s="1" t="n">
        <v>46307</v>
      </c>
      <c r="F552" t="inlineStr">
        <is>
          <t>JÖNKÖPINGS LÄN</t>
        </is>
      </c>
      <c r="G552" t="inlineStr">
        <is>
          <t>NÄSSJÖ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46295</v>
      </c>
      <c r="E553" s="1" t="n">
        <v>46307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40545-2026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46295</v>
      </c>
      <c r="E554" s="1" t="n">
        <v>46307</v>
      </c>
      <c r="F554" t="inlineStr">
        <is>
          <t>JÖNKÖPINGS LÄN</t>
        </is>
      </c>
      <c r="G554" t="inlineStr">
        <is>
          <t>NÄSSJÖ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40543-2026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46295</v>
      </c>
      <c r="E555" s="1" t="n">
        <v>46307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46307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46307</v>
      </c>
      <c r="F557" t="inlineStr">
        <is>
          <t>JÖNKÖPINGS LÄN</t>
        </is>
      </c>
      <c r="G557" t="inlineStr">
        <is>
          <t>NÄSSJÖ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46307</v>
      </c>
      <c r="F558" t="inlineStr">
        <is>
          <t>JÖNKÖPINGS LÄN</t>
        </is>
      </c>
      <c r="G558" t="inlineStr">
        <is>
          <t>NÄSSJÖ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46307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39211-2026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46287</v>
      </c>
      <c r="E560" s="1" t="n">
        <v>46307</v>
      </c>
      <c r="F560" t="inlineStr">
        <is>
          <t>JÖNKÖPINGS LÄN</t>
        </is>
      </c>
      <c r="G560" t="inlineStr">
        <is>
          <t>NÄSSJÖ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46307</v>
      </c>
      <c r="F561" t="inlineStr">
        <is>
          <t>JÖNKÖPINGS LÄN</t>
        </is>
      </c>
      <c r="G561" t="inlineStr">
        <is>
          <t>NÄSSJÖ</t>
        </is>
      </c>
      <c r="H561" t="inlineStr">
        <is>
          <t>Kyrkan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46307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46307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46307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46307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46307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46307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46307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46307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46307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46307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46307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46307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46307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46307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46307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46307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46307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46307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46307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46307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46307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46307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46307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46307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46307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46307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46307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2026-10-12T02:02:53Z</dcterms:created>
  <dcterms:modified xmlns:dcterms="http://purl.org/dc/terms/" xmlns:xsi="http://www.w3.org/2001/XMLSchema-instance" xsi:type="dcterms:W3CDTF">2026-10-12T02:02:53Z</dcterms:modified>
</cp:coreProperties>
</file>