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46295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46295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46295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24531-2024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46295</v>
      </c>
      <c r="F10" t="inlineStr">
        <is>
          <t>JÖNKÖPINGS LÄN</t>
        </is>
      </c>
      <c r="G10" t="inlineStr">
        <is>
          <t>NÄSSJÖ</t>
        </is>
      </c>
      <c r="I10" t="n">
        <v>2.2</v>
      </c>
      <c r="J10" t="n">
        <v>0</v>
      </c>
      <c r="K10" t="n">
        <v>3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Vridfingersvamp
Papegojvaxing
Småvaxing
Toppvaxing</t>
        </is>
      </c>
      <c r="W10">
        <f>HYPERLINK("https://klasma.github.io/Logging_0682/artfynd/A 24531-2024 artfynd.xlsx", "A 24531-2024")</f>
        <v/>
      </c>
      <c r="X10">
        <f>HYPERLINK("https://klasma.github.io/Logging_0682/kartor/A 24531-2024 karta.png", "A 24531-2024")</f>
        <v/>
      </c>
      <c r="Y10">
        <f>HYPERLINK("https://klasma.github.io/Logging_0682/kartor_geotiff/A 24531-2024 georefererad karta.tif", "A 24531-2024")</f>
        <v/>
      </c>
      <c r="AA10">
        <f>HYPERLINK("https://klasma.github.io/Logging_0682/klagomål/A 24531-2024 FSC-klagomål.docx", "A 24531-2024")</f>
        <v/>
      </c>
      <c r="AB10">
        <f>HYPERLINK("https://klasma.github.io/Logging_0682/klagomålsmail/A 24531-2024 FSC-klagomål mail.docx", "A 24531-2024")</f>
        <v/>
      </c>
      <c r="AC10">
        <f>HYPERLINK("https://klasma.github.io/Logging_0682/tillsyn/A 24531-2024 tillsynsbegäran.docx", "A 24531-2024")</f>
        <v/>
      </c>
      <c r="AD10">
        <f>HYPERLINK("https://klasma.github.io/Logging_0682/tillsynsmail/A 24531-2024 tillsynsbegäran mail.docx", "A 24531-2024")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46295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46295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46295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46295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46295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46295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46295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46295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46295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46295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46295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46295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46295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46295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46295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46295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46295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46295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46295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46295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46295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46295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35328-2024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45530</v>
      </c>
      <c r="E35" s="1" t="n">
        <v>46295</v>
      </c>
      <c r="F35" t="inlineStr">
        <is>
          <t>JÖNKÖPINGS LÄN</t>
        </is>
      </c>
      <c r="G35" t="inlineStr">
        <is>
          <t>NÄSSJÖ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Kungsfågel</t>
        </is>
      </c>
      <c r="W35">
        <f>HYPERLINK("https://klasma.github.io/Logging_0682/artfynd/A 35328-2024 artfynd.xlsx", "A 35328-2024")</f>
        <v/>
      </c>
      <c r="X35">
        <f>HYPERLINK("https://klasma.github.io/Logging_0682/kartor/A 35328-2024 karta.png", "A 35328-2024")</f>
        <v/>
      </c>
      <c r="Y35">
        <f>HYPERLINK("https://klasma.github.io/Logging_0682/kartor_geotiff/A 35328-2024 georefererad karta.tif", "A 35328-2024")</f>
        <v/>
      </c>
      <c r="AA35">
        <f>HYPERLINK("https://klasma.github.io/Logging_0682/klagomål/A 35328-2024 FSC-klagomål.docx", "A 35328-2024")</f>
        <v/>
      </c>
      <c r="AB35">
        <f>HYPERLINK("https://klasma.github.io/Logging_0682/klagomålsmail/A 35328-2024 FSC-klagomål mail.docx", "A 35328-2024")</f>
        <v/>
      </c>
      <c r="AC35">
        <f>HYPERLINK("https://klasma.github.io/Logging_0682/tillsyn/A 35328-2024 tillsynsbegäran.docx", "A 35328-2024")</f>
        <v/>
      </c>
      <c r="AD35">
        <f>HYPERLINK("https://klasma.github.io/Logging_0682/tillsynsmail/A 35328-2024 tillsynsbegäran mail.docx", "A 35328-2024")</f>
        <v/>
      </c>
    </row>
    <row r="36" ht="15" customHeight="1">
      <c r="A36" t="inlineStr">
        <is>
          <t>A 15048-2026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46295</v>
      </c>
      <c r="F36" t="inlineStr">
        <is>
          <t>JÖNKÖPINGS LÄN</t>
        </is>
      </c>
      <c r="G36" t="inlineStr">
        <is>
          <t>NÄSSJÖ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15048-2026 artfynd.xlsx", "A 15048-2026")</f>
        <v/>
      </c>
      <c r="X36">
        <f>HYPERLINK("https://klasma.github.io/Logging_0682/kartor/A 15048-2026 karta.png", "A 15048-2026")</f>
        <v/>
      </c>
      <c r="Y36">
        <f>HYPERLINK("https://klasma.github.io/Logging_0682/kartor_geotiff/A 15048-2026 georefererad karta.tif", "A 15048-2026")</f>
        <v/>
      </c>
      <c r="AA36">
        <f>HYPERLINK("https://klasma.github.io/Logging_0682/klagomål/A 15048-2026 FSC-klagomål.docx", "A 15048-2026")</f>
        <v/>
      </c>
      <c r="AB36">
        <f>HYPERLINK("https://klasma.github.io/Logging_0682/klagomålsmail/A 15048-2026 FSC-klagomål mail.docx", "A 15048-2026")</f>
        <v/>
      </c>
      <c r="AC36">
        <f>HYPERLINK("https://klasma.github.io/Logging_0682/tillsyn/A 15048-2026 tillsynsbegäran.docx", "A 15048-2026")</f>
        <v/>
      </c>
      <c r="AD36">
        <f>HYPERLINK("https://klasma.github.io/Logging_0682/tillsynsmail/A 15048-2026 tillsynsbegäran mail.docx", "A 15048-2026")</f>
        <v/>
      </c>
    </row>
    <row r="37" ht="15" customHeight="1">
      <c r="A37" t="inlineStr">
        <is>
          <t>A 15845-2026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46295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15845-2026 artfynd.xlsx", "A 15845-2026")</f>
        <v/>
      </c>
      <c r="X37">
        <f>HYPERLINK("https://klasma.github.io/Logging_0682/kartor/A 15845-2026 karta.png", "A 15845-2026")</f>
        <v/>
      </c>
      <c r="Y37">
        <f>HYPERLINK("https://klasma.github.io/Logging_0682/kartor_geotiff/A 15845-2026 georefererad karta.tif", "A 15845-2026")</f>
        <v/>
      </c>
      <c r="AA37">
        <f>HYPERLINK("https://klasma.github.io/Logging_0682/klagomål/A 15845-2026 FSC-klagomål.docx", "A 15845-2026")</f>
        <v/>
      </c>
      <c r="AB37">
        <f>HYPERLINK("https://klasma.github.io/Logging_0682/klagomålsmail/A 15845-2026 FSC-klagomål mail.docx", "A 15845-2026")</f>
        <v/>
      </c>
      <c r="AC37">
        <f>HYPERLINK("https://klasma.github.io/Logging_0682/tillsyn/A 15845-2026 tillsynsbegäran.docx", "A 15845-2026")</f>
        <v/>
      </c>
      <c r="AD37">
        <f>HYPERLINK("https://klasma.github.io/Logging_0682/tillsynsmail/A 15845-2026 tillsynsbegäran mail.docx", "A 15845-2026")</f>
        <v/>
      </c>
      <c r="AE37">
        <f>HYPERLINK("https://klasma.github.io/Logging_0682/fåglar/A 15845-2026 prioriterade fågelarter.docx", "A 15845-2026")</f>
        <v/>
      </c>
    </row>
    <row r="38" ht="15" customHeight="1">
      <c r="A38" t="inlineStr">
        <is>
          <t>A 27215-2023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46295</v>
      </c>
      <c r="F38" t="inlineStr">
        <is>
          <t>JÖNKÖPINGS LÄN</t>
        </is>
      </c>
      <c r="G38" t="inlineStr">
        <is>
          <t>NÄSSJÖ</t>
        </is>
      </c>
      <c r="I38" t="n">
        <v>13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HYPERLINK("https://klasma.github.io/Logging_0682/artfynd/A 27215-2023 artfynd.xlsx", "A 27215-2023")</f>
        <v/>
      </c>
      <c r="X38">
        <f>HYPERLINK("https://klasma.github.io/Logging_0682/kartor/A 27215-2023 karta.png", "A 27215-2023")</f>
        <v/>
      </c>
      <c r="Y38">
        <f>HYPERLINK("https://klasma.github.io/Logging_0682/kartor_geotiff/A 27215-2023 georefererad karta.tif", "A 27215-2023")</f>
        <v/>
      </c>
      <c r="AA38">
        <f>HYPERLINK("https://klasma.github.io/Logging_0682/klagomål/A 27215-2023 FSC-klagomål.docx", "A 27215-2023")</f>
        <v/>
      </c>
      <c r="AB38">
        <f>HYPERLINK("https://klasma.github.io/Logging_0682/klagomålsmail/A 27215-2023 FSC-klagomål mail.docx", "A 27215-2023")</f>
        <v/>
      </c>
      <c r="AC38">
        <f>HYPERLINK("https://klasma.github.io/Logging_0682/tillsyn/A 27215-2023 tillsynsbegäran.docx", "A 27215-2023")</f>
        <v/>
      </c>
      <c r="AD38">
        <f>HYPERLINK("https://klasma.github.io/Logging_0682/tillsynsmail/A 27215-2023 tillsynsbegäran mail.docx", "A 27215-2023")</f>
        <v/>
      </c>
      <c r="AE38">
        <f>HYPERLINK("https://klasma.github.io/Logging_0682/fåglar/A 27215-2023 prioriterade fågelarter.docx", "A 27215-2023")</f>
        <v/>
      </c>
    </row>
    <row r="39" ht="15" customHeight="1">
      <c r="A39" t="inlineStr">
        <is>
          <t>A 3693-2022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46295</v>
      </c>
      <c r="F39" t="inlineStr">
        <is>
          <t>JÖNKÖPINGS LÄN</t>
        </is>
      </c>
      <c r="G39" t="inlineStr">
        <is>
          <t>NÄSSJÖ</t>
        </is>
      </c>
      <c r="I39" t="n">
        <v>2.9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Järnsparv</t>
        </is>
      </c>
      <c r="W39">
        <f>HYPERLINK("https://klasma.github.io/Logging_0682/artfynd/A 3693-2022 artfynd.xlsx", "A 3693-2022")</f>
        <v/>
      </c>
      <c r="X39">
        <f>HYPERLINK("https://klasma.github.io/Logging_0682/kartor/A 3693-2022 karta.png", "A 3693-2022")</f>
        <v/>
      </c>
      <c r="Y39">
        <f>HYPERLINK("https://klasma.github.io/Logging_0682/kartor_geotiff/A 3693-2022 georefererad karta.tif", "A 3693-2022")</f>
        <v/>
      </c>
      <c r="AA39">
        <f>HYPERLINK("https://klasma.github.io/Logging_0682/klagomål/A 3693-2022 FSC-klagomål.docx", "A 3693-2022")</f>
        <v/>
      </c>
      <c r="AB39">
        <f>HYPERLINK("https://klasma.github.io/Logging_0682/klagomålsmail/A 3693-2022 FSC-klagomål mail.docx", "A 3693-2022")</f>
        <v/>
      </c>
      <c r="AC39">
        <f>HYPERLINK("https://klasma.github.io/Logging_0682/tillsyn/A 3693-2022 tillsynsbegäran.docx", "A 3693-2022")</f>
        <v/>
      </c>
      <c r="AD39">
        <f>HYPERLINK("https://klasma.github.io/Logging_0682/tillsynsmail/A 3693-2022 tillsynsbegäran mail.docx", "A 3693-2022")</f>
        <v/>
      </c>
      <c r="AE39">
        <f>HYPERLINK("https://klasma.github.io/Logging_0682/fåglar/A 3693-2022 prioriterade fågelarter.docx", "A 3693-2022")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46295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39717-2022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44819</v>
      </c>
      <c r="E41" s="1" t="n">
        <v>46295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HYPERLINK("https://klasma.github.io/Logging_0682/artfynd/A 39717-2022 artfynd.xlsx", "A 39717-2022")</f>
        <v/>
      </c>
      <c r="X41">
        <f>HYPERLINK("https://klasma.github.io/Logging_0682/kartor/A 39717-2022 karta.png", "A 39717-2022")</f>
        <v/>
      </c>
      <c r="Y41">
        <f>HYPERLINK("https://klasma.github.io/Logging_0682/kartor_geotiff/A 39717-2022 georefererad karta.tif", "A 39717-2022")</f>
        <v/>
      </c>
      <c r="AA41">
        <f>HYPERLINK("https://klasma.github.io/Logging_0682/klagomål/A 39717-2022 FSC-klagomål.docx", "A 39717-2022")</f>
        <v/>
      </c>
      <c r="AB41">
        <f>HYPERLINK("https://klasma.github.io/Logging_0682/klagomålsmail/A 39717-2022 FSC-klagomål mail.docx", "A 39717-2022")</f>
        <v/>
      </c>
      <c r="AC41">
        <f>HYPERLINK("https://klasma.github.io/Logging_0682/tillsyn/A 39717-2022 tillsynsbegäran.docx", "A 39717-2022")</f>
        <v/>
      </c>
      <c r="AD41">
        <f>HYPERLINK("https://klasma.github.io/Logging_0682/tillsynsmail/A 39717-2022 tillsynsbegäran mail.docx", "A 39717-2022")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46295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46295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55860-2022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46295</v>
      </c>
      <c r="F44" t="inlineStr">
        <is>
          <t>JÖNKÖPINGS LÄN</t>
        </is>
      </c>
      <c r="G44" t="inlineStr">
        <is>
          <t>NÄSSJÖ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19</v>
      </c>
      <c r="U44" t="n">
        <v>0</v>
      </c>
      <c r="V44" s="2" t="inlineStr">
        <is>
          <t>Knärot</t>
        </is>
      </c>
      <c r="W44">
        <f>HYPERLINK("https://klasma.github.io/Logging_0682/artfynd/A 55860-2022 artfynd.xlsx", "A 55860-2022")</f>
        <v/>
      </c>
      <c r="X44">
        <f>HYPERLINK("https://klasma.github.io/Logging_0682/kartor/A 55860-2022 karta.png", "A 55860-2022")</f>
        <v/>
      </c>
      <c r="Y44">
        <f>HYPERLINK("https://klasma.github.io/Logging_0682/kartor_geotiff/A 55860-2022 georefererad karta.tif", "A 55860-2022")</f>
        <v/>
      </c>
      <c r="Z44">
        <f>HYPERLINK("https://klasma.github.io/Logging_0682/knärot/A 55860-2022 karta knärot.png", "A 55860-2022")</f>
        <v/>
      </c>
      <c r="AA44">
        <f>HYPERLINK("https://klasma.github.io/Logging_0682/klagomål/A 55860-2022 FSC-klagomål.docx", "A 55860-2022")</f>
        <v/>
      </c>
      <c r="AB44">
        <f>HYPERLINK("https://klasma.github.io/Logging_0682/klagomålsmail/A 55860-2022 FSC-klagomål mail.docx", "A 55860-2022")</f>
        <v/>
      </c>
      <c r="AC44">
        <f>HYPERLINK("https://klasma.github.io/Logging_0682/tillsyn/A 55860-2022 tillsynsbegäran.docx", "A 55860-2022")</f>
        <v/>
      </c>
      <c r="AD44">
        <f>HYPERLINK("https://klasma.github.io/Logging_0682/tillsynsmail/A 55860-2022 tillsynsbegäran mail.docx", "A 55860-2022")</f>
        <v/>
      </c>
    </row>
    <row r="45" ht="15" customHeight="1">
      <c r="A45" t="inlineStr">
        <is>
          <t>A 48462-2024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46295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48462-2024 artfynd.xlsx", "A 48462-2024")</f>
        <v/>
      </c>
      <c r="X45">
        <f>HYPERLINK("https://klasma.github.io/Logging_0682/kartor/A 48462-2024 karta.png", "A 48462-2024")</f>
        <v/>
      </c>
      <c r="Y45">
        <f>HYPERLINK("https://klasma.github.io/Logging_0682/kartor_geotiff/A 48462-2024 georefererad karta.tif", "A 48462-2024")</f>
        <v/>
      </c>
      <c r="AA45">
        <f>HYPERLINK("https://klasma.github.io/Logging_0682/klagomål/A 48462-2024 FSC-klagomål.docx", "A 48462-2024")</f>
        <v/>
      </c>
      <c r="AB45">
        <f>HYPERLINK("https://klasma.github.io/Logging_0682/klagomålsmail/A 48462-2024 FSC-klagomål mail.docx", "A 48462-2024")</f>
        <v/>
      </c>
      <c r="AC45">
        <f>HYPERLINK("https://klasma.github.io/Logging_0682/tillsyn/A 48462-2024 tillsynsbegäran.docx", "A 48462-2024")</f>
        <v/>
      </c>
      <c r="AD45">
        <f>HYPERLINK("https://klasma.github.io/Logging_0682/tillsynsmail/A 48462-2024 tillsynsbegäran mail.docx", "A 48462-2024")</f>
        <v/>
      </c>
    </row>
    <row r="46" ht="15" customHeight="1">
      <c r="A46" t="inlineStr">
        <is>
          <t>A 34798-2026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46258</v>
      </c>
      <c r="E46" s="1" t="n">
        <v>46295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34798-2026 artfynd.xlsx", "A 34798-2026")</f>
        <v/>
      </c>
      <c r="X46">
        <f>HYPERLINK("https://klasma.github.io/Logging_0682/kartor/A 34798-2026 karta.png", "A 34798-2026")</f>
        <v/>
      </c>
      <c r="Y46">
        <f>HYPERLINK("https://klasma.github.io/Logging_0682/kartor_geotiff/A 34798-2026 georefererad karta.tif", "A 34798-2026")</f>
        <v/>
      </c>
      <c r="AA46">
        <f>HYPERLINK("https://klasma.github.io/Logging_0682/klagomål/A 34798-2026 FSC-klagomål.docx", "A 34798-2026")</f>
        <v/>
      </c>
      <c r="AB46">
        <f>HYPERLINK("https://klasma.github.io/Logging_0682/klagomålsmail/A 34798-2026 FSC-klagomål mail.docx", "A 34798-2026")</f>
        <v/>
      </c>
      <c r="AC46">
        <f>HYPERLINK("https://klasma.github.io/Logging_0682/tillsyn/A 34798-2026 tillsynsbegäran.docx", "A 34798-2026")</f>
        <v/>
      </c>
      <c r="AD46">
        <f>HYPERLINK("https://klasma.github.io/Logging_0682/tillsynsmail/A 34798-2026 tillsynsbegäran mail.docx", "A 34798-2026")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46295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46295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46295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46295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46295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46295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46295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46295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46295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46295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46295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46295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46295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46295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46295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46295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1485-2022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44573</v>
      </c>
      <c r="E63" s="1" t="n">
        <v>46295</v>
      </c>
      <c r="F63" t="inlineStr">
        <is>
          <t>JÖNKÖPINGS LÄN</t>
        </is>
      </c>
      <c r="G63" t="inlineStr">
        <is>
          <t>NÄSSJÖ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46295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46295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46295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46295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46295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46295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46295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46295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46295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46295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46295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46295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46295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46295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46295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46295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46295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46295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46295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46295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46295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46295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46295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46295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46295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46295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46295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46295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46295</v>
      </c>
      <c r="F92" t="inlineStr">
        <is>
          <t>JÖNKÖPINGS LÄN</t>
        </is>
      </c>
      <c r="G92" t="inlineStr">
        <is>
          <t>NÄSSJÖ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44650</v>
      </c>
      <c r="E93" s="1" t="n">
        <v>46295</v>
      </c>
      <c r="F93" t="inlineStr">
        <is>
          <t>JÖNKÖPINGS LÄN</t>
        </is>
      </c>
      <c r="G93" t="inlineStr">
        <is>
          <t>NÄSSJÖ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44568</v>
      </c>
      <c r="E94" s="1" t="n">
        <v>46295</v>
      </c>
      <c r="F94" t="inlineStr">
        <is>
          <t>JÖNKÖPINGS LÄN</t>
        </is>
      </c>
      <c r="G94" t="inlineStr">
        <is>
          <t>NÄSSJÖ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46295</v>
      </c>
      <c r="F95" t="inlineStr">
        <is>
          <t>JÖNKÖPINGS LÄN</t>
        </is>
      </c>
      <c r="G95" t="inlineStr">
        <is>
          <t>NÄSSJÖ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46295</v>
      </c>
      <c r="F96" t="inlineStr">
        <is>
          <t>JÖNKÖPINGS LÄN</t>
        </is>
      </c>
      <c r="G96" t="inlineStr">
        <is>
          <t>NÄSSJÖ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46295</v>
      </c>
      <c r="F97" t="inlineStr">
        <is>
          <t>JÖNKÖPINGS LÄN</t>
        </is>
      </c>
      <c r="G97" t="inlineStr">
        <is>
          <t>NÄSSJÖ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45322</v>
      </c>
      <c r="E98" s="1" t="n">
        <v>46295</v>
      </c>
      <c r="F98" t="inlineStr">
        <is>
          <t>JÖNKÖPINGS LÄN</t>
        </is>
      </c>
      <c r="G98" t="inlineStr">
        <is>
          <t>NÄSSJÖ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45617</v>
      </c>
      <c r="E99" s="1" t="n">
        <v>46295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44813</v>
      </c>
      <c r="E100" s="1" t="n">
        <v>46295</v>
      </c>
      <c r="F100" t="inlineStr">
        <is>
          <t>JÖNKÖPINGS LÄN</t>
        </is>
      </c>
      <c r="G100" t="inlineStr">
        <is>
          <t>NÄSSJÖ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46295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46295</v>
      </c>
      <c r="F102" t="inlineStr">
        <is>
          <t>JÖNKÖPINGS LÄN</t>
        </is>
      </c>
      <c r="G102" t="inlineStr">
        <is>
          <t>NÄSSJÖ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46295</v>
      </c>
      <c r="F103" t="inlineStr">
        <is>
          <t>JÖNKÖPINGS LÄN</t>
        </is>
      </c>
      <c r="G103" t="inlineStr">
        <is>
          <t>NÄSSJÖ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15829-2024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45404</v>
      </c>
      <c r="E104" s="1" t="n">
        <v>46295</v>
      </c>
      <c r="F104" t="inlineStr">
        <is>
          <t>JÖNKÖPINGS LÄN</t>
        </is>
      </c>
      <c r="G104" t="inlineStr">
        <is>
          <t>NÄSSJÖ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46295</v>
      </c>
      <c r="F105" t="inlineStr">
        <is>
          <t>JÖNKÖPINGS LÄN</t>
        </is>
      </c>
      <c r="G105" t="inlineStr">
        <is>
          <t>NÄSSJÖ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46295</v>
      </c>
      <c r="F106" t="inlineStr">
        <is>
          <t>JÖNKÖPINGS LÄN</t>
        </is>
      </c>
      <c r="G106" t="inlineStr">
        <is>
          <t>NÄSSJÖ</t>
        </is>
      </c>
      <c r="H106" t="inlineStr">
        <is>
          <t>Kommuner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45720</v>
      </c>
      <c r="E107" s="1" t="n">
        <v>46295</v>
      </c>
      <c r="F107" t="inlineStr">
        <is>
          <t>JÖNKÖPINGS LÄN</t>
        </is>
      </c>
      <c r="G107" t="inlineStr">
        <is>
          <t>NÄSSJÖ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44874</v>
      </c>
      <c r="E108" s="1" t="n">
        <v>46295</v>
      </c>
      <c r="F108" t="inlineStr">
        <is>
          <t>JÖNKÖPINGS LÄN</t>
        </is>
      </c>
      <c r="G108" t="inlineStr">
        <is>
          <t>NÄSSJÖ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44848</v>
      </c>
      <c r="E109" s="1" t="n">
        <v>46295</v>
      </c>
      <c r="F109" t="inlineStr">
        <is>
          <t>JÖNKÖPINGS LÄN</t>
        </is>
      </c>
      <c r="G109" t="inlineStr">
        <is>
          <t>NÄSSJÖ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46295</v>
      </c>
      <c r="F110" t="inlineStr">
        <is>
          <t>JÖNKÖPINGS LÄN</t>
        </is>
      </c>
      <c r="G110" t="inlineStr">
        <is>
          <t>NÄSSJÖ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46295</v>
      </c>
      <c r="F111" t="inlineStr">
        <is>
          <t>JÖNKÖPINGS LÄN</t>
        </is>
      </c>
      <c r="G111" t="inlineStr">
        <is>
          <t>NÄSSJÖ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46295</v>
      </c>
      <c r="F112" t="inlineStr">
        <is>
          <t>JÖNKÖPINGS LÄN</t>
        </is>
      </c>
      <c r="G112" t="inlineStr">
        <is>
          <t>NÄSSJÖ</t>
        </is>
      </c>
      <c r="H112" t="inlineStr">
        <is>
          <t>Kommuner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46295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45394</v>
      </c>
      <c r="E114" s="1" t="n">
        <v>46295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46295</v>
      </c>
      <c r="F115" t="inlineStr">
        <is>
          <t>JÖNKÖPINGS LÄN</t>
        </is>
      </c>
      <c r="G115" t="inlineStr">
        <is>
          <t>NÄSSJÖ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46295</v>
      </c>
      <c r="F116" t="inlineStr">
        <is>
          <t>JÖNKÖPINGS LÄN</t>
        </is>
      </c>
      <c r="G116" t="inlineStr">
        <is>
          <t>NÄSSJÖ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46295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46295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45320</v>
      </c>
      <c r="E119" s="1" t="n">
        <v>46295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46295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46295</v>
      </c>
      <c r="F121" t="inlineStr">
        <is>
          <t>JÖNKÖPINGS LÄN</t>
        </is>
      </c>
      <c r="G121" t="inlineStr">
        <is>
          <t>NÄSSJÖ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46295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46295</v>
      </c>
      <c r="F123" t="inlineStr">
        <is>
          <t>JÖNKÖPINGS LÄN</t>
        </is>
      </c>
      <c r="G123" t="inlineStr">
        <is>
          <t>NÄSSJÖ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46295</v>
      </c>
      <c r="F124" t="inlineStr">
        <is>
          <t>JÖNKÖPINGS LÄN</t>
        </is>
      </c>
      <c r="G124" t="inlineStr">
        <is>
          <t>NÄSSJÖ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46295</v>
      </c>
      <c r="F125" t="inlineStr">
        <is>
          <t>JÖNKÖPINGS LÄN</t>
        </is>
      </c>
      <c r="G125" t="inlineStr">
        <is>
          <t>NÄSSJÖ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46295</v>
      </c>
      <c r="F126" t="inlineStr">
        <is>
          <t>JÖNKÖPINGS LÄN</t>
        </is>
      </c>
      <c r="G126" t="inlineStr">
        <is>
          <t>NÄSSJÖ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32982-2024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45517</v>
      </c>
      <c r="E127" s="1" t="n">
        <v>46295</v>
      </c>
      <c r="F127" t="inlineStr">
        <is>
          <t>JÖNKÖPINGS LÄN</t>
        </is>
      </c>
      <c r="G127" t="inlineStr">
        <is>
          <t>NÄSSJÖ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45307</v>
      </c>
      <c r="E128" s="1" t="n">
        <v>46295</v>
      </c>
      <c r="F128" t="inlineStr">
        <is>
          <t>JÖNKÖPINGS LÄN</t>
        </is>
      </c>
      <c r="G128" t="inlineStr">
        <is>
          <t>NÄSSJÖ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45795</v>
      </c>
      <c r="E129" s="1" t="n">
        <v>46295</v>
      </c>
      <c r="F129" t="inlineStr">
        <is>
          <t>JÖNKÖPINGS LÄN</t>
        </is>
      </c>
      <c r="G129" t="inlineStr">
        <is>
          <t>NÄSSJÖ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45795</v>
      </c>
      <c r="E130" s="1" t="n">
        <v>46295</v>
      </c>
      <c r="F130" t="inlineStr">
        <is>
          <t>JÖNKÖPINGS LÄN</t>
        </is>
      </c>
      <c r="G130" t="inlineStr">
        <is>
          <t>NÄSSJÖ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63987-2025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46295</v>
      </c>
      <c r="F131" t="inlineStr">
        <is>
          <t>JÖNKÖPINGS LÄN</t>
        </is>
      </c>
      <c r="G131" t="inlineStr">
        <is>
          <t>NÄSSJÖ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45154</v>
      </c>
      <c r="E132" s="1" t="n">
        <v>46295</v>
      </c>
      <c r="F132" t="inlineStr">
        <is>
          <t>JÖNKÖPINGS LÄN</t>
        </is>
      </c>
      <c r="G132" t="inlineStr">
        <is>
          <t>NÄSSJÖ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36950-2023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45154</v>
      </c>
      <c r="E133" s="1" t="n">
        <v>46295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45260</v>
      </c>
      <c r="E134" s="1" t="n">
        <v>46295</v>
      </c>
      <c r="F134" t="inlineStr">
        <is>
          <t>JÖNKÖPINGS LÄN</t>
        </is>
      </c>
      <c r="G134" t="inlineStr">
        <is>
          <t>NÄSSJÖ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46295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46295</v>
      </c>
      <c r="F136" t="inlineStr">
        <is>
          <t>JÖNKÖPINGS LÄN</t>
        </is>
      </c>
      <c r="G136" t="inlineStr">
        <is>
          <t>NÄSSJÖ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46295</v>
      </c>
      <c r="F137" t="inlineStr">
        <is>
          <t>JÖNKÖPINGS LÄN</t>
        </is>
      </c>
      <c r="G137" t="inlineStr">
        <is>
          <t>NÄSSJÖ</t>
        </is>
      </c>
      <c r="I137" t="n">
        <v>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46295</v>
      </c>
      <c r="F138" t="inlineStr">
        <is>
          <t>JÖNKÖPINGS LÄN</t>
        </is>
      </c>
      <c r="G138" t="inlineStr">
        <is>
          <t>NÄSSJÖ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45723</v>
      </c>
      <c r="E139" s="1" t="n">
        <v>46295</v>
      </c>
      <c r="F139" t="inlineStr">
        <is>
          <t>JÖNKÖPINGS LÄN</t>
        </is>
      </c>
      <c r="G139" t="inlineStr">
        <is>
          <t>NÄSSJÖ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46295</v>
      </c>
      <c r="F140" t="inlineStr">
        <is>
          <t>JÖNKÖPINGS LÄN</t>
        </is>
      </c>
      <c r="G140" t="inlineStr">
        <is>
          <t>NÄSSJÖ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46295</v>
      </c>
      <c r="F141" t="inlineStr">
        <is>
          <t>JÖNKÖPINGS LÄN</t>
        </is>
      </c>
      <c r="G141" t="inlineStr">
        <is>
          <t>NÄSSJÖ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46295</v>
      </c>
      <c r="F142" t="inlineStr">
        <is>
          <t>JÖNKÖPINGS LÄN</t>
        </is>
      </c>
      <c r="G142" t="inlineStr">
        <is>
          <t>NÄSSJÖ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46295</v>
      </c>
      <c r="F143" t="inlineStr">
        <is>
          <t>JÖNKÖPINGS LÄN</t>
        </is>
      </c>
      <c r="G143" t="inlineStr">
        <is>
          <t>NÄSSJÖ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46295</v>
      </c>
      <c r="F144" t="inlineStr">
        <is>
          <t>JÖNKÖPINGS LÄN</t>
        </is>
      </c>
      <c r="G144" t="inlineStr">
        <is>
          <t>NÄSSJÖ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46295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46295</v>
      </c>
      <c r="F146" t="inlineStr">
        <is>
          <t>JÖNKÖPINGS LÄN</t>
        </is>
      </c>
      <c r="G146" t="inlineStr">
        <is>
          <t>NÄSSJÖ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46295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46295</v>
      </c>
      <c r="F148" t="inlineStr">
        <is>
          <t>JÖNKÖPINGS LÄN</t>
        </is>
      </c>
      <c r="G148" t="inlineStr">
        <is>
          <t>NÄSSJÖ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45729</v>
      </c>
      <c r="E149" s="1" t="n">
        <v>46295</v>
      </c>
      <c r="F149" t="inlineStr">
        <is>
          <t>JÖNKÖPINGS LÄN</t>
        </is>
      </c>
      <c r="G149" t="inlineStr">
        <is>
          <t>NÄSSJÖ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46295</v>
      </c>
      <c r="F150" t="inlineStr">
        <is>
          <t>JÖNKÖPINGS LÄN</t>
        </is>
      </c>
      <c r="G150" t="inlineStr">
        <is>
          <t>NÄSSJÖ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46295</v>
      </c>
      <c r="F151" t="inlineStr">
        <is>
          <t>JÖNKÖPINGS LÄN</t>
        </is>
      </c>
      <c r="G151" t="inlineStr">
        <is>
          <t>NÄSSJÖ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39555-2025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45890</v>
      </c>
      <c r="E152" s="1" t="n">
        <v>46295</v>
      </c>
      <c r="F152" t="inlineStr">
        <is>
          <t>JÖNKÖPINGS LÄN</t>
        </is>
      </c>
      <c r="G152" t="inlineStr">
        <is>
          <t>NÄSSJÖ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46295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46295</v>
      </c>
      <c r="F154" t="inlineStr">
        <is>
          <t>JÖNKÖPINGS LÄN</t>
        </is>
      </c>
      <c r="G154" t="inlineStr">
        <is>
          <t>NÄSSJÖ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45892</v>
      </c>
      <c r="E155" s="1" t="n">
        <v>46295</v>
      </c>
      <c r="F155" t="inlineStr">
        <is>
          <t>JÖNKÖPINGS LÄN</t>
        </is>
      </c>
      <c r="G155" t="inlineStr">
        <is>
          <t>NÄSSJÖ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46295</v>
      </c>
      <c r="F156" t="inlineStr">
        <is>
          <t>JÖNKÖPINGS LÄN</t>
        </is>
      </c>
      <c r="G156" t="inlineStr">
        <is>
          <t>NÄSSJÖ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46295</v>
      </c>
      <c r="F157" t="inlineStr">
        <is>
          <t>JÖNKÖPINGS LÄN</t>
        </is>
      </c>
      <c r="G157" t="inlineStr">
        <is>
          <t>NÄSSJÖ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46295</v>
      </c>
      <c r="F158" t="inlineStr">
        <is>
          <t>JÖNKÖPINGS LÄN</t>
        </is>
      </c>
      <c r="G158" t="inlineStr">
        <is>
          <t>NÄSSJÖ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46295</v>
      </c>
      <c r="F159" t="inlineStr">
        <is>
          <t>JÖNKÖPINGS LÄN</t>
        </is>
      </c>
      <c r="G159" t="inlineStr">
        <is>
          <t>NÄSSJÖ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46295</v>
      </c>
      <c r="F160" t="inlineStr">
        <is>
          <t>JÖNKÖPINGS LÄN</t>
        </is>
      </c>
      <c r="G160" t="inlineStr">
        <is>
          <t>NÄSSJÖ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46295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45907</v>
      </c>
      <c r="E162" s="1" t="n">
        <v>46295</v>
      </c>
      <c r="F162" t="inlineStr">
        <is>
          <t>JÖNKÖPINGS LÄN</t>
        </is>
      </c>
      <c r="G162" t="inlineStr">
        <is>
          <t>NÄSSJÖ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45907</v>
      </c>
      <c r="E163" s="1" t="n">
        <v>46295</v>
      </c>
      <c r="F163" t="inlineStr">
        <is>
          <t>JÖNKÖPINGS LÄN</t>
        </is>
      </c>
      <c r="G163" t="inlineStr">
        <is>
          <t>NÄSSJÖ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46295</v>
      </c>
      <c r="F164" t="inlineStr">
        <is>
          <t>JÖNKÖPINGS LÄN</t>
        </is>
      </c>
      <c r="G164" t="inlineStr">
        <is>
          <t>NÄSSJÖ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46295</v>
      </c>
      <c r="F165" t="inlineStr">
        <is>
          <t>JÖNKÖPINGS LÄN</t>
        </is>
      </c>
      <c r="G165" t="inlineStr">
        <is>
          <t>NÄSSJÖ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46295</v>
      </c>
      <c r="F166" t="inlineStr">
        <is>
          <t>JÖNKÖPINGS LÄN</t>
        </is>
      </c>
      <c r="G166" t="inlineStr">
        <is>
          <t>NÄSSJÖ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46295</v>
      </c>
      <c r="F167" t="inlineStr">
        <is>
          <t>JÖNKÖPINGS LÄN</t>
        </is>
      </c>
      <c r="G167" t="inlineStr">
        <is>
          <t>NÄSSJÖ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46295</v>
      </c>
      <c r="F168" t="inlineStr">
        <is>
          <t>JÖNKÖPINGS LÄN</t>
        </is>
      </c>
      <c r="G168" t="inlineStr">
        <is>
          <t>NÄSSJÖ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46295</v>
      </c>
      <c r="F169" t="inlineStr">
        <is>
          <t>JÖNKÖPINGS LÄN</t>
        </is>
      </c>
      <c r="G169" t="inlineStr">
        <is>
          <t>NÄSSJÖ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54303-2021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44472</v>
      </c>
      <c r="E170" s="1" t="n">
        <v>46295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46295</v>
      </c>
      <c r="F171" t="inlineStr">
        <is>
          <t>JÖNKÖPINGS LÄN</t>
        </is>
      </c>
      <c r="G171" t="inlineStr">
        <is>
          <t>NÄSSJÖ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46295</v>
      </c>
      <c r="F172" t="inlineStr">
        <is>
          <t>JÖNKÖPINGS LÄN</t>
        </is>
      </c>
      <c r="G172" t="inlineStr">
        <is>
          <t>NÄSSJÖ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46295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46295</v>
      </c>
      <c r="F174" t="inlineStr">
        <is>
          <t>JÖNKÖPINGS LÄN</t>
        </is>
      </c>
      <c r="G174" t="inlineStr">
        <is>
          <t>NÄSSJÖ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46295</v>
      </c>
      <c r="F175" t="inlineStr">
        <is>
          <t>JÖNKÖPINGS LÄN</t>
        </is>
      </c>
      <c r="G175" t="inlineStr">
        <is>
          <t>NÄSSJÖ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46295</v>
      </c>
      <c r="F176" t="inlineStr">
        <is>
          <t>JÖNKÖPINGS LÄN</t>
        </is>
      </c>
      <c r="G176" t="inlineStr">
        <is>
          <t>NÄSSJÖ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46295</v>
      </c>
      <c r="F177" t="inlineStr">
        <is>
          <t>JÖNKÖPINGS LÄN</t>
        </is>
      </c>
      <c r="G177" t="inlineStr">
        <is>
          <t>NÄSSJÖ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46295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46295</v>
      </c>
      <c r="F179" t="inlineStr">
        <is>
          <t>JÖNKÖPINGS LÄN</t>
        </is>
      </c>
      <c r="G179" t="inlineStr">
        <is>
          <t>NÄSSJÖ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46295</v>
      </c>
      <c r="F180" t="inlineStr">
        <is>
          <t>JÖNKÖPINGS LÄN</t>
        </is>
      </c>
      <c r="G180" t="inlineStr">
        <is>
          <t>NÄSSJÖ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45031</v>
      </c>
      <c r="E181" s="1" t="n">
        <v>46295</v>
      </c>
      <c r="F181" t="inlineStr">
        <is>
          <t>JÖNKÖPINGS LÄN</t>
        </is>
      </c>
      <c r="G181" t="inlineStr">
        <is>
          <t>NÄSSJÖ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45419</v>
      </c>
      <c r="E182" s="1" t="n">
        <v>46295</v>
      </c>
      <c r="F182" t="inlineStr">
        <is>
          <t>JÖNKÖPINGS LÄN</t>
        </is>
      </c>
      <c r="G182" t="inlineStr">
        <is>
          <t>NÄSSJÖ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44928</v>
      </c>
      <c r="E183" s="1" t="n">
        <v>46295</v>
      </c>
      <c r="F183" t="inlineStr">
        <is>
          <t>JÖNKÖPINGS LÄN</t>
        </is>
      </c>
      <c r="G183" t="inlineStr">
        <is>
          <t>NÄSSJÖ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46295</v>
      </c>
      <c r="F184" t="inlineStr">
        <is>
          <t>JÖNKÖPINGS LÄN</t>
        </is>
      </c>
      <c r="G184" t="inlineStr">
        <is>
          <t>NÄSSJÖ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46295</v>
      </c>
      <c r="F185" t="inlineStr">
        <is>
          <t>JÖNKÖPINGS LÄN</t>
        </is>
      </c>
      <c r="G185" t="inlineStr">
        <is>
          <t>NÄSSJÖ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45369</v>
      </c>
      <c r="E186" s="1" t="n">
        <v>46295</v>
      </c>
      <c r="F186" t="inlineStr">
        <is>
          <t>JÖNKÖPINGS LÄN</t>
        </is>
      </c>
      <c r="G186" t="inlineStr">
        <is>
          <t>NÄSSJÖ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46044</v>
      </c>
      <c r="E187" s="1" t="n">
        <v>46295</v>
      </c>
      <c r="F187" t="inlineStr">
        <is>
          <t>JÖNKÖPINGS LÄN</t>
        </is>
      </c>
      <c r="G187" t="inlineStr">
        <is>
          <t>NÄSSJÖ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45794</v>
      </c>
      <c r="E188" s="1" t="n">
        <v>46295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46295</v>
      </c>
      <c r="F189" t="inlineStr">
        <is>
          <t>JÖNKÖPINGS LÄN</t>
        </is>
      </c>
      <c r="G189" t="inlineStr">
        <is>
          <t>NÄSSJÖ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45372</v>
      </c>
      <c r="E190" s="1" t="n">
        <v>46295</v>
      </c>
      <c r="F190" t="inlineStr">
        <is>
          <t>JÖNKÖPINGS LÄN</t>
        </is>
      </c>
      <c r="G190" t="inlineStr">
        <is>
          <t>NÄSSJÖ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46295</v>
      </c>
      <c r="F191" t="inlineStr">
        <is>
          <t>JÖNKÖPINGS LÄN</t>
        </is>
      </c>
      <c r="G191" t="inlineStr">
        <is>
          <t>NÄSSJÖ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44617</v>
      </c>
      <c r="E192" s="1" t="n">
        <v>46295</v>
      </c>
      <c r="F192" t="inlineStr">
        <is>
          <t>JÖNKÖPINGS LÄN</t>
        </is>
      </c>
      <c r="G192" t="inlineStr">
        <is>
          <t>NÄSSJÖ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46295</v>
      </c>
      <c r="F193" t="inlineStr">
        <is>
          <t>JÖNKÖPINGS LÄN</t>
        </is>
      </c>
      <c r="G193" t="inlineStr">
        <is>
          <t>NÄSSJÖ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46295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45843</v>
      </c>
      <c r="E195" s="1" t="n">
        <v>46295</v>
      </c>
      <c r="F195" t="inlineStr">
        <is>
          <t>JÖNKÖPINGS LÄN</t>
        </is>
      </c>
      <c r="G195" t="inlineStr">
        <is>
          <t>NÄSSJÖ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45843</v>
      </c>
      <c r="E196" s="1" t="n">
        <v>46295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46295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45843</v>
      </c>
      <c r="E198" s="1" t="n">
        <v>46295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49880-2023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45213</v>
      </c>
      <c r="E199" s="1" t="n">
        <v>46295</v>
      </c>
      <c r="F199" t="inlineStr">
        <is>
          <t>JÖNKÖPINGS LÄN</t>
        </is>
      </c>
      <c r="G199" t="inlineStr">
        <is>
          <t>NÄSSJÖ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46295</v>
      </c>
      <c r="F200" t="inlineStr">
        <is>
          <t>JÖNKÖPINGS LÄN</t>
        </is>
      </c>
      <c r="G200" t="inlineStr">
        <is>
          <t>NÄSSJÖ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46295</v>
      </c>
      <c r="F201" t="inlineStr">
        <is>
          <t>JÖNKÖPINGS LÄN</t>
        </is>
      </c>
      <c r="G201" t="inlineStr">
        <is>
          <t>NÄSSJÖ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46295</v>
      </c>
      <c r="F202" t="inlineStr">
        <is>
          <t>JÖNKÖPINGS LÄN</t>
        </is>
      </c>
      <c r="G202" t="inlineStr">
        <is>
          <t>NÄSSJÖ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46295</v>
      </c>
      <c r="F203" t="inlineStr">
        <is>
          <t>JÖNKÖPINGS LÄN</t>
        </is>
      </c>
      <c r="G203" t="inlineStr">
        <is>
          <t>NÄSSJÖ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46295</v>
      </c>
      <c r="F204" t="inlineStr">
        <is>
          <t>JÖNKÖPINGS LÄN</t>
        </is>
      </c>
      <c r="G204" t="inlineStr">
        <is>
          <t>NÄSSJÖ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46295</v>
      </c>
      <c r="F205" t="inlineStr">
        <is>
          <t>JÖNKÖPINGS LÄN</t>
        </is>
      </c>
      <c r="G205" t="inlineStr">
        <is>
          <t>NÄSSJÖ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45209</v>
      </c>
      <c r="E206" s="1" t="n">
        <v>46295</v>
      </c>
      <c r="F206" t="inlineStr">
        <is>
          <t>JÖNKÖPINGS LÄN</t>
        </is>
      </c>
      <c r="G206" t="inlineStr">
        <is>
          <t>NÄSSJÖ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46295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50219-2025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45943</v>
      </c>
      <c r="E208" s="1" t="n">
        <v>46295</v>
      </c>
      <c r="F208" t="inlineStr">
        <is>
          <t>JÖNKÖPINGS LÄN</t>
        </is>
      </c>
      <c r="G208" t="inlineStr">
        <is>
          <t>NÄSSJÖ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46295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44972</v>
      </c>
      <c r="E210" s="1" t="n">
        <v>46295</v>
      </c>
      <c r="F210" t="inlineStr">
        <is>
          <t>JÖNKÖPINGS LÄN</t>
        </is>
      </c>
      <c r="G210" t="inlineStr">
        <is>
          <t>NÄSSJÖ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9943-2025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45719</v>
      </c>
      <c r="E211" s="1" t="n">
        <v>46295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46295</v>
      </c>
      <c r="F212" t="inlineStr">
        <is>
          <t>JÖNKÖPINGS LÄN</t>
        </is>
      </c>
      <c r="G212" t="inlineStr">
        <is>
          <t>NÄSSJÖ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45942</v>
      </c>
      <c r="E213" s="1" t="n">
        <v>46295</v>
      </c>
      <c r="F213" t="inlineStr">
        <is>
          <t>JÖNKÖPINGS LÄN</t>
        </is>
      </c>
      <c r="G213" t="inlineStr">
        <is>
          <t>NÄSSJÖ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46295</v>
      </c>
      <c r="F214" t="inlineStr">
        <is>
          <t>JÖNKÖPINGS LÄN</t>
        </is>
      </c>
      <c r="G214" t="inlineStr">
        <is>
          <t>NÄSSJÖ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46295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50439-2025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45944</v>
      </c>
      <c r="E216" s="1" t="n">
        <v>46295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46295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44945</v>
      </c>
      <c r="E218" s="1" t="n">
        <v>46295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45732</v>
      </c>
      <c r="E219" s="1" t="n">
        <v>46295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46295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46295</v>
      </c>
      <c r="F221" t="inlineStr">
        <is>
          <t>JÖNKÖPINGS LÄN</t>
        </is>
      </c>
      <c r="G221" t="inlineStr">
        <is>
          <t>NÄSSJÖ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46295</v>
      </c>
      <c r="F222" t="inlineStr">
        <is>
          <t>JÖNKÖPINGS LÄN</t>
        </is>
      </c>
      <c r="G222" t="inlineStr">
        <is>
          <t>NÄSSJÖ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46295</v>
      </c>
      <c r="F223" t="inlineStr">
        <is>
          <t>JÖNKÖPINGS LÄN</t>
        </is>
      </c>
      <c r="G223" t="inlineStr">
        <is>
          <t>NÄSSJÖ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46295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46295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46295</v>
      </c>
      <c r="F226" t="inlineStr">
        <is>
          <t>JÖNKÖPINGS LÄN</t>
        </is>
      </c>
      <c r="G226" t="inlineStr">
        <is>
          <t>NÄSSJÖ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46295</v>
      </c>
      <c r="F227" t="inlineStr">
        <is>
          <t>JÖNKÖPINGS LÄN</t>
        </is>
      </c>
      <c r="G227" t="inlineStr">
        <is>
          <t>NÄSSJÖ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45317</v>
      </c>
      <c r="E228" s="1" t="n">
        <v>46295</v>
      </c>
      <c r="F228" t="inlineStr">
        <is>
          <t>JÖNKÖPINGS LÄN</t>
        </is>
      </c>
      <c r="G228" t="inlineStr">
        <is>
          <t>NÄSSJÖ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46295</v>
      </c>
      <c r="F229" t="inlineStr">
        <is>
          <t>JÖNKÖPINGS LÄN</t>
        </is>
      </c>
      <c r="G229" t="inlineStr">
        <is>
          <t>NÄSSJÖ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46295</v>
      </c>
      <c r="F230" t="inlineStr">
        <is>
          <t>JÖNKÖPINGS LÄN</t>
        </is>
      </c>
      <c r="G230" t="inlineStr">
        <is>
          <t>NÄSSJÖ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46295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46295</v>
      </c>
      <c r="F232" t="inlineStr">
        <is>
          <t>JÖNKÖPINGS LÄN</t>
        </is>
      </c>
      <c r="G232" t="inlineStr">
        <is>
          <t>NÄSSJÖ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46295</v>
      </c>
      <c r="F233" t="inlineStr">
        <is>
          <t>JÖNKÖPINGS LÄN</t>
        </is>
      </c>
      <c r="G233" t="inlineStr">
        <is>
          <t>NÄSSJÖ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46295</v>
      </c>
      <c r="F234" t="inlineStr">
        <is>
          <t>JÖNKÖPINGS LÄN</t>
        </is>
      </c>
      <c r="G234" t="inlineStr">
        <is>
          <t>NÄSSJÖ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46295</v>
      </c>
      <c r="F235" t="inlineStr">
        <is>
          <t>JÖNKÖPINGS LÄN</t>
        </is>
      </c>
      <c r="G235" t="inlineStr">
        <is>
          <t>NÄSSJÖ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46295</v>
      </c>
      <c r="F236" t="inlineStr">
        <is>
          <t>JÖNKÖPINGS LÄN</t>
        </is>
      </c>
      <c r="G236" t="inlineStr">
        <is>
          <t>NÄSSJÖ</t>
        </is>
      </c>
      <c r="H236" t="inlineStr">
        <is>
          <t>Övriga Aktiebolag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46295</v>
      </c>
      <c r="F237" t="inlineStr">
        <is>
          <t>JÖNKÖPINGS LÄN</t>
        </is>
      </c>
      <c r="G237" t="inlineStr">
        <is>
          <t>NÄSSJÖ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46295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44965</v>
      </c>
      <c r="E239" s="1" t="n">
        <v>46295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46295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46295</v>
      </c>
      <c r="F241" t="inlineStr">
        <is>
          <t>JÖNKÖPINGS LÄN</t>
        </is>
      </c>
      <c r="G241" t="inlineStr">
        <is>
          <t>NÄSSJÖ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46061</v>
      </c>
      <c r="E242" s="1" t="n">
        <v>46295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46295</v>
      </c>
      <c r="F243" t="inlineStr">
        <is>
          <t>JÖNKÖPINGS LÄN</t>
        </is>
      </c>
      <c r="G243" t="inlineStr">
        <is>
          <t>NÄSSJÖ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46295</v>
      </c>
      <c r="F244" t="inlineStr">
        <is>
          <t>JÖNKÖPINGS LÄN</t>
        </is>
      </c>
      <c r="G244" t="inlineStr">
        <is>
          <t>NÄSSJÖ</t>
        </is>
      </c>
      <c r="H244" t="inlineStr">
        <is>
          <t>Kyrkan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56586-2025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46295</v>
      </c>
      <c r="F245" t="inlineStr">
        <is>
          <t>JÖNKÖPINGS LÄN</t>
        </is>
      </c>
      <c r="G245" t="inlineStr">
        <is>
          <t>NÄSSJÖ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  <c r="Z245">
        <f>HYPERLINK("https://klasma.github.io/Logging_0682/knärot/A 56586-2025 karta knärot.png", "A 56586-2025")</f>
        <v/>
      </c>
      <c r="AA245">
        <f>HYPERLINK("https://klasma.github.io/Logging_0682/klagomål/A 56586-2025 FSC-klagomål.docx", "A 56586-2025")</f>
        <v/>
      </c>
      <c r="AB245">
        <f>HYPERLINK("https://klasma.github.io/Logging_0682/klagomålsmail/A 56586-2025 FSC-klagomål mail.docx", "A 56586-2025")</f>
        <v/>
      </c>
      <c r="AC245">
        <f>HYPERLINK("https://klasma.github.io/Logging_0682/tillsyn/A 56586-2025 tillsynsbegäran.docx", "A 56586-2025")</f>
        <v/>
      </c>
      <c r="AD245">
        <f>HYPERLINK("https://klasma.github.io/Logging_0682/tillsynsmail/A 56586-2025 tillsynsbegäran mail.docx", "A 56586-2025")</f>
        <v/>
      </c>
    </row>
    <row r="246" ht="15" customHeight="1">
      <c r="A246" t="inlineStr">
        <is>
          <t>A 59167-2024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46295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46295</v>
      </c>
      <c r="F247" t="inlineStr">
        <is>
          <t>JÖNKÖPINGS LÄN</t>
        </is>
      </c>
      <c r="G247" t="inlineStr">
        <is>
          <t>NÄSSJÖ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46295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46295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45014</v>
      </c>
      <c r="E250" s="1" t="n">
        <v>46295</v>
      </c>
      <c r="F250" t="inlineStr">
        <is>
          <t>JÖNKÖPINGS LÄN</t>
        </is>
      </c>
      <c r="G250" t="inlineStr">
        <is>
          <t>NÄSSJÖ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46295</v>
      </c>
      <c r="F251" t="inlineStr">
        <is>
          <t>JÖNKÖPINGS LÄN</t>
        </is>
      </c>
      <c r="G251" t="inlineStr">
        <is>
          <t>NÄSSJÖ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46295</v>
      </c>
      <c r="F252" t="inlineStr">
        <is>
          <t>JÖNKÖPINGS LÄN</t>
        </is>
      </c>
      <c r="G252" t="inlineStr">
        <is>
          <t>NÄSSJÖ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46295</v>
      </c>
      <c r="F253" t="inlineStr">
        <is>
          <t>JÖNKÖPINGS LÄN</t>
        </is>
      </c>
      <c r="G253" t="inlineStr">
        <is>
          <t>NÄSSJÖ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46074</v>
      </c>
      <c r="E254" s="1" t="n">
        <v>46295</v>
      </c>
      <c r="F254" t="inlineStr">
        <is>
          <t>JÖNKÖPINGS LÄN</t>
        </is>
      </c>
      <c r="G254" t="inlineStr">
        <is>
          <t>NÄSSJÖ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46295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46295</v>
      </c>
      <c r="F256" t="inlineStr">
        <is>
          <t>JÖNKÖPINGS LÄN</t>
        </is>
      </c>
      <c r="G256" t="inlineStr">
        <is>
          <t>NÄSSJÖ</t>
        </is>
      </c>
      <c r="H256" t="inlineStr">
        <is>
          <t>Kyrkan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45154</v>
      </c>
      <c r="E257" s="1" t="n">
        <v>46295</v>
      </c>
      <c r="F257" t="inlineStr">
        <is>
          <t>JÖNKÖPINGS LÄN</t>
        </is>
      </c>
      <c r="G257" t="inlineStr">
        <is>
          <t>NÄSSJÖ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46295</v>
      </c>
      <c r="F258" t="inlineStr">
        <is>
          <t>JÖNKÖPINGS LÄN</t>
        </is>
      </c>
      <c r="G258" t="inlineStr">
        <is>
          <t>NÄSSJÖ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46295</v>
      </c>
      <c r="F259" t="inlineStr">
        <is>
          <t>JÖNKÖPINGS LÄN</t>
        </is>
      </c>
      <c r="G259" t="inlineStr">
        <is>
          <t>NÄSSJÖ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46295</v>
      </c>
      <c r="F260" t="inlineStr">
        <is>
          <t>JÖNKÖPINGS LÄN</t>
        </is>
      </c>
      <c r="G260" t="inlineStr">
        <is>
          <t>NÄSSJÖ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46295</v>
      </c>
      <c r="F261" t="inlineStr">
        <is>
          <t>JÖNKÖPINGS LÄN</t>
        </is>
      </c>
      <c r="G261" t="inlineStr">
        <is>
          <t>NÄSSJÖ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46295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46295</v>
      </c>
      <c r="F263" t="inlineStr">
        <is>
          <t>JÖNKÖPINGS LÄN</t>
        </is>
      </c>
      <c r="G263" t="inlineStr">
        <is>
          <t>NÄSSJÖ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60535-2025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45995</v>
      </c>
      <c r="E264" s="1" t="n">
        <v>46295</v>
      </c>
      <c r="F264" t="inlineStr">
        <is>
          <t>JÖNKÖPINGS LÄN</t>
        </is>
      </c>
      <c r="G264" t="inlineStr">
        <is>
          <t>NÄSSJÖ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45694</v>
      </c>
      <c r="E265" s="1" t="n">
        <v>46295</v>
      </c>
      <c r="F265" t="inlineStr">
        <is>
          <t>JÖNKÖPINGS LÄN</t>
        </is>
      </c>
      <c r="G265" t="inlineStr">
        <is>
          <t>NÄSSJÖ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46295</v>
      </c>
      <c r="F266" t="inlineStr">
        <is>
          <t>JÖNKÖPINGS LÄN</t>
        </is>
      </c>
      <c r="G266" t="inlineStr">
        <is>
          <t>NÄSSJÖ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46295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46295</v>
      </c>
      <c r="F268" t="inlineStr">
        <is>
          <t>JÖNKÖPINGS LÄN</t>
        </is>
      </c>
      <c r="G268" t="inlineStr">
        <is>
          <t>NÄSSJÖ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45148</v>
      </c>
      <c r="E269" s="1" t="n">
        <v>46295</v>
      </c>
      <c r="F269" t="inlineStr">
        <is>
          <t>JÖNKÖPINGS LÄN</t>
        </is>
      </c>
      <c r="G269" t="inlineStr">
        <is>
          <t>NÄSSJÖ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46295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44988</v>
      </c>
      <c r="E271" s="1" t="n">
        <v>46295</v>
      </c>
      <c r="F271" t="inlineStr">
        <is>
          <t>JÖNKÖPINGS LÄN</t>
        </is>
      </c>
      <c r="G271" t="inlineStr">
        <is>
          <t>NÄSSJÖ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46295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46295</v>
      </c>
      <c r="F273" t="inlineStr">
        <is>
          <t>JÖNKÖPINGS LÄN</t>
        </is>
      </c>
      <c r="G273" t="inlineStr">
        <is>
          <t>NÄSSJÖ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12652-2026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46091</v>
      </c>
      <c r="E274" s="1" t="n">
        <v>46295</v>
      </c>
      <c r="F274" t="inlineStr">
        <is>
          <t>JÖNKÖPINGS LÄN</t>
        </is>
      </c>
      <c r="G274" t="inlineStr">
        <is>
          <t>NÄSSJÖ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46295</v>
      </c>
      <c r="F275" t="inlineStr">
        <is>
          <t>JÖNKÖPINGS LÄN</t>
        </is>
      </c>
      <c r="G275" t="inlineStr">
        <is>
          <t>NÄSSJÖ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46295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46295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46295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46295</v>
      </c>
      <c r="F279" t="inlineStr">
        <is>
          <t>JÖNKÖPINGS LÄN</t>
        </is>
      </c>
      <c r="G279" t="inlineStr">
        <is>
          <t>NÄSSJÖ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46295</v>
      </c>
      <c r="F280" t="inlineStr">
        <is>
          <t>JÖNKÖPINGS LÄN</t>
        </is>
      </c>
      <c r="G280" t="inlineStr">
        <is>
          <t>NÄSSJÖ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44804</v>
      </c>
      <c r="E281" s="1" t="n">
        <v>46295</v>
      </c>
      <c r="F281" t="inlineStr">
        <is>
          <t>JÖNKÖPINGS LÄN</t>
        </is>
      </c>
      <c r="G281" t="inlineStr">
        <is>
          <t>NÄSSJÖ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45277</v>
      </c>
      <c r="E282" s="1" t="n">
        <v>46295</v>
      </c>
      <c r="F282" t="inlineStr">
        <is>
          <t>JÖNKÖPINGS LÄN</t>
        </is>
      </c>
      <c r="G282" t="inlineStr">
        <is>
          <t>NÄSSJÖ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46295</v>
      </c>
      <c r="F283" t="inlineStr">
        <is>
          <t>JÖNKÖPINGS LÄN</t>
        </is>
      </c>
      <c r="G283" t="inlineStr">
        <is>
          <t>NÄSSJÖ</t>
        </is>
      </c>
      <c r="H283" t="inlineStr">
        <is>
          <t>Kommuner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14486-2026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46295</v>
      </c>
      <c r="F284" t="inlineStr">
        <is>
          <t>JÖNKÖPINGS LÄN</t>
        </is>
      </c>
      <c r="G284" t="inlineStr">
        <is>
          <t>NÄSSJÖ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46295</v>
      </c>
      <c r="F285" t="inlineStr">
        <is>
          <t>JÖNKÖPINGS LÄN</t>
        </is>
      </c>
      <c r="G285" t="inlineStr">
        <is>
          <t>NÄSSJÖ</t>
        </is>
      </c>
      <c r="H285" t="inlineStr">
        <is>
          <t>Kommuner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46295</v>
      </c>
      <c r="F286" t="inlineStr">
        <is>
          <t>JÖNKÖPINGS LÄN</t>
        </is>
      </c>
      <c r="G286" t="inlineStr">
        <is>
          <t>NÄSSJÖ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45732</v>
      </c>
      <c r="E287" s="1" t="n">
        <v>46295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46295</v>
      </c>
      <c r="F288" t="inlineStr">
        <is>
          <t>JÖNKÖPINGS LÄN</t>
        </is>
      </c>
      <c r="G288" t="inlineStr">
        <is>
          <t>NÄSSJÖ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46295</v>
      </c>
      <c r="F289" t="inlineStr">
        <is>
          <t>JÖNKÖPINGS LÄN</t>
        </is>
      </c>
      <c r="G289" t="inlineStr">
        <is>
          <t>NÄSSJÖ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46295</v>
      </c>
      <c r="F290" t="inlineStr">
        <is>
          <t>JÖNKÖPINGS LÄN</t>
        </is>
      </c>
      <c r="G290" t="inlineStr">
        <is>
          <t>NÄSSJÖ</t>
        </is>
      </c>
      <c r="H290" t="inlineStr">
        <is>
          <t>Kommuner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45670</v>
      </c>
      <c r="E291" s="1" t="n">
        <v>46295</v>
      </c>
      <c r="F291" t="inlineStr">
        <is>
          <t>JÖNKÖPINGS LÄN</t>
        </is>
      </c>
      <c r="G291" t="inlineStr">
        <is>
          <t>NÄSSJÖ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46295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45077</v>
      </c>
      <c r="E293" s="1" t="n">
        <v>46295</v>
      </c>
      <c r="F293" t="inlineStr">
        <is>
          <t>JÖNKÖPINGS LÄN</t>
        </is>
      </c>
      <c r="G293" t="inlineStr">
        <is>
          <t>NÄSSJÖ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46295</v>
      </c>
      <c r="F294" t="inlineStr">
        <is>
          <t>JÖNKÖPINGS LÄN</t>
        </is>
      </c>
      <c r="G294" t="inlineStr">
        <is>
          <t>NÄSSJÖ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45083</v>
      </c>
      <c r="E295" s="1" t="n">
        <v>46295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46295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45069</v>
      </c>
      <c r="E297" s="1" t="n">
        <v>46295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46295</v>
      </c>
      <c r="F298" t="inlineStr">
        <is>
          <t>JÖNKÖPINGS LÄN</t>
        </is>
      </c>
      <c r="G298" t="inlineStr">
        <is>
          <t>NÄSSJÖ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45481</v>
      </c>
      <c r="E299" s="1" t="n">
        <v>46295</v>
      </c>
      <c r="F299" t="inlineStr">
        <is>
          <t>JÖNKÖPINGS LÄN</t>
        </is>
      </c>
      <c r="G299" t="inlineStr">
        <is>
          <t>NÄSSJÖ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46295</v>
      </c>
      <c r="F300" t="inlineStr">
        <is>
          <t>JÖNKÖPINGS LÄN</t>
        </is>
      </c>
      <c r="G300" t="inlineStr">
        <is>
          <t>NÄSSJÖ</t>
        </is>
      </c>
      <c r="H300" t="inlineStr">
        <is>
          <t>Kommuner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46295</v>
      </c>
      <c r="F301" t="inlineStr">
        <is>
          <t>JÖNKÖPINGS LÄN</t>
        </is>
      </c>
      <c r="G301" t="inlineStr">
        <is>
          <t>NÄSSJÖ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46295</v>
      </c>
      <c r="F302" t="inlineStr">
        <is>
          <t>JÖNKÖPINGS LÄN</t>
        </is>
      </c>
      <c r="G302" t="inlineStr">
        <is>
          <t>NÄSSJÖ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46295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46295</v>
      </c>
      <c r="F304" t="inlineStr">
        <is>
          <t>JÖNKÖPINGS LÄN</t>
        </is>
      </c>
      <c r="G304" t="inlineStr">
        <is>
          <t>NÄSSJÖ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45275</v>
      </c>
      <c r="E305" s="1" t="n">
        <v>46295</v>
      </c>
      <c r="F305" t="inlineStr">
        <is>
          <t>JÖNKÖPINGS LÄN</t>
        </is>
      </c>
      <c r="G305" t="inlineStr">
        <is>
          <t>NÄSSJÖ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46295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45732</v>
      </c>
      <c r="E307" s="1" t="n">
        <v>46295</v>
      </c>
      <c r="F307" t="inlineStr">
        <is>
          <t>JÖNKÖPINGS LÄN</t>
        </is>
      </c>
      <c r="G307" t="inlineStr">
        <is>
          <t>NÄSSJÖ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44608</v>
      </c>
      <c r="E308" s="1" t="n">
        <v>46295</v>
      </c>
      <c r="F308" t="inlineStr">
        <is>
          <t>JÖNKÖPINGS LÄN</t>
        </is>
      </c>
      <c r="G308" t="inlineStr">
        <is>
          <t>NÄSSJÖ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49339-2022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44858</v>
      </c>
      <c r="E309" s="1" t="n">
        <v>46295</v>
      </c>
      <c r="F309" t="inlineStr">
        <is>
          <t>JÖNKÖPINGS LÄN</t>
        </is>
      </c>
      <c r="G309" t="inlineStr">
        <is>
          <t>NÄSSJÖ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46295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46295</v>
      </c>
      <c r="F311" t="inlineStr">
        <is>
          <t>JÖNKÖPINGS LÄN</t>
        </is>
      </c>
      <c r="G311" t="inlineStr">
        <is>
          <t>NÄSSJÖ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46295</v>
      </c>
      <c r="F312" t="inlineStr">
        <is>
          <t>JÖNKÖPINGS LÄN</t>
        </is>
      </c>
      <c r="G312" t="inlineStr">
        <is>
          <t>NÄSSJÖ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45380</v>
      </c>
      <c r="E313" s="1" t="n">
        <v>46295</v>
      </c>
      <c r="F313" t="inlineStr">
        <is>
          <t>JÖNKÖPINGS LÄN</t>
        </is>
      </c>
      <c r="G313" t="inlineStr">
        <is>
          <t>NÄSSJÖ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15862-2022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44664</v>
      </c>
      <c r="E314" s="1" t="n">
        <v>46295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45109</v>
      </c>
      <c r="E315" s="1" t="n">
        <v>46295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45732</v>
      </c>
      <c r="E316" s="1" t="n">
        <v>46295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46295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46295</v>
      </c>
      <c r="F318" t="inlineStr">
        <is>
          <t>JÖNKÖPINGS LÄN</t>
        </is>
      </c>
      <c r="G318" t="inlineStr">
        <is>
          <t>NÄSSJÖ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46295</v>
      </c>
      <c r="F319" t="inlineStr">
        <is>
          <t>JÖNKÖPINGS LÄN</t>
        </is>
      </c>
      <c r="G319" t="inlineStr">
        <is>
          <t>NÄSSJÖ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46295</v>
      </c>
      <c r="F320" t="inlineStr">
        <is>
          <t>JÖNKÖPINGS LÄN</t>
        </is>
      </c>
      <c r="G320" t="inlineStr">
        <is>
          <t>NÄSSJÖ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46295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46295</v>
      </c>
      <c r="F322" t="inlineStr">
        <is>
          <t>JÖNKÖPINGS LÄN</t>
        </is>
      </c>
      <c r="G322" t="inlineStr">
        <is>
          <t>NÄSSJÖ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45728</v>
      </c>
      <c r="E323" s="1" t="n">
        <v>46295</v>
      </c>
      <c r="F323" t="inlineStr">
        <is>
          <t>JÖNKÖPINGS LÄN</t>
        </is>
      </c>
      <c r="G323" t="inlineStr">
        <is>
          <t>NÄSSJÖ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46295</v>
      </c>
      <c r="F324" t="inlineStr">
        <is>
          <t>JÖNKÖPINGS LÄN</t>
        </is>
      </c>
      <c r="G324" t="inlineStr">
        <is>
          <t>NÄSSJÖ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45380</v>
      </c>
      <c r="E325" s="1" t="n">
        <v>46295</v>
      </c>
      <c r="F325" t="inlineStr">
        <is>
          <t>JÖNKÖPINGS LÄN</t>
        </is>
      </c>
      <c r="G325" t="inlineStr">
        <is>
          <t>NÄSSJÖ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46295</v>
      </c>
      <c r="F326" t="inlineStr">
        <is>
          <t>JÖNKÖPINGS LÄN</t>
        </is>
      </c>
      <c r="G326" t="inlineStr">
        <is>
          <t>NÄSSJÖ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57918-2021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44487</v>
      </c>
      <c r="E327" s="1" t="n">
        <v>46295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46295</v>
      </c>
      <c r="F328" t="inlineStr">
        <is>
          <t>JÖNKÖPINGS LÄN</t>
        </is>
      </c>
      <c r="G328" t="inlineStr">
        <is>
          <t>NÄSSJÖ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46295</v>
      </c>
      <c r="F329" t="inlineStr">
        <is>
          <t>JÖNKÖPINGS LÄN</t>
        </is>
      </c>
      <c r="G329" t="inlineStr">
        <is>
          <t>NÄSSJÖ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44665</v>
      </c>
      <c r="E330" s="1" t="n">
        <v>46295</v>
      </c>
      <c r="F330" t="inlineStr">
        <is>
          <t>JÖNKÖPINGS LÄN</t>
        </is>
      </c>
      <c r="G330" t="inlineStr">
        <is>
          <t>NÄSSJÖ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46295</v>
      </c>
      <c r="F331" t="inlineStr">
        <is>
          <t>JÖNKÖPINGS LÄN</t>
        </is>
      </c>
      <c r="G331" t="inlineStr">
        <is>
          <t>NÄSSJÖ</t>
        </is>
      </c>
      <c r="H331" t="inlineStr">
        <is>
          <t>Kommuner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46295</v>
      </c>
      <c r="F332" t="inlineStr">
        <is>
          <t>JÖNKÖPINGS LÄN</t>
        </is>
      </c>
      <c r="G332" t="inlineStr">
        <is>
          <t>NÄSSJÖ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46295</v>
      </c>
      <c r="F333" t="inlineStr">
        <is>
          <t>JÖNKÖPINGS LÄN</t>
        </is>
      </c>
      <c r="G333" t="inlineStr">
        <is>
          <t>NÄSSJÖ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46295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45277</v>
      </c>
      <c r="E335" s="1" t="n">
        <v>46295</v>
      </c>
      <c r="F335" t="inlineStr">
        <is>
          <t>JÖNKÖPINGS LÄN</t>
        </is>
      </c>
      <c r="G335" t="inlineStr">
        <is>
          <t>NÄSSJÖ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45733</v>
      </c>
      <c r="E336" s="1" t="n">
        <v>46295</v>
      </c>
      <c r="F336" t="inlineStr">
        <is>
          <t>JÖNKÖPINGS LÄN</t>
        </is>
      </c>
      <c r="G336" t="inlineStr">
        <is>
          <t>NÄSSJÖ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45821</v>
      </c>
      <c r="E337" s="1" t="n">
        <v>46295</v>
      </c>
      <c r="F337" t="inlineStr">
        <is>
          <t>JÖNKÖPINGS LÄN</t>
        </is>
      </c>
      <c r="G337" t="inlineStr">
        <is>
          <t>NÄSSJÖ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46295</v>
      </c>
      <c r="F338" t="inlineStr">
        <is>
          <t>JÖNKÖPINGS LÄN</t>
        </is>
      </c>
      <c r="G338" t="inlineStr">
        <is>
          <t>NÄSSJÖ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46295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46295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11523-2023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44993</v>
      </c>
      <c r="E341" s="1" t="n">
        <v>46295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46295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45275</v>
      </c>
      <c r="E343" s="1" t="n">
        <v>46295</v>
      </c>
      <c r="F343" t="inlineStr">
        <is>
          <t>JÖNKÖPINGS LÄN</t>
        </is>
      </c>
      <c r="G343" t="inlineStr">
        <is>
          <t>NÄSSJÖ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29403-2023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46295</v>
      </c>
      <c r="F344" t="inlineStr">
        <is>
          <t>JÖNKÖPINGS LÄN</t>
        </is>
      </c>
      <c r="G344" t="inlineStr">
        <is>
          <t>NÄSSJÖ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46295</v>
      </c>
      <c r="F345" t="inlineStr">
        <is>
          <t>JÖNKÖPINGS LÄN</t>
        </is>
      </c>
      <c r="G345" t="inlineStr">
        <is>
          <t>NÄSSJÖ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57357-2025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46295</v>
      </c>
      <c r="F346" t="inlineStr">
        <is>
          <t>JÖNKÖPINGS LÄN</t>
        </is>
      </c>
      <c r="G346" t="inlineStr">
        <is>
          <t>NÄSSJÖ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46295</v>
      </c>
      <c r="F347" t="inlineStr">
        <is>
          <t>JÖNKÖPINGS LÄN</t>
        </is>
      </c>
      <c r="G347" t="inlineStr">
        <is>
          <t>NÄSSJÖ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46295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45760</v>
      </c>
      <c r="E349" s="1" t="n">
        <v>46295</v>
      </c>
      <c r="F349" t="inlineStr">
        <is>
          <t>JÖNKÖPINGS LÄN</t>
        </is>
      </c>
      <c r="G349" t="inlineStr">
        <is>
          <t>NÄSSJÖ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46295</v>
      </c>
      <c r="F350" t="inlineStr">
        <is>
          <t>JÖNKÖPINGS LÄN</t>
        </is>
      </c>
      <c r="G350" t="inlineStr">
        <is>
          <t>NÄSSJÖ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45259</v>
      </c>
      <c r="E351" s="1" t="n">
        <v>46295</v>
      </c>
      <c r="F351" t="inlineStr">
        <is>
          <t>JÖNKÖPINGS LÄN</t>
        </is>
      </c>
      <c r="G351" t="inlineStr">
        <is>
          <t>NÄSSJÖ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45162</v>
      </c>
      <c r="E352" s="1" t="n">
        <v>46295</v>
      </c>
      <c r="F352" t="inlineStr">
        <is>
          <t>JÖNKÖPINGS LÄN</t>
        </is>
      </c>
      <c r="G352" t="inlineStr">
        <is>
          <t>NÄSSJÖ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45590</v>
      </c>
      <c r="E353" s="1" t="n">
        <v>46295</v>
      </c>
      <c r="F353" t="inlineStr">
        <is>
          <t>JÖNKÖPINGS LÄN</t>
        </is>
      </c>
      <c r="G353" t="inlineStr">
        <is>
          <t>NÄSSJÖ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63630-2023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45275</v>
      </c>
      <c r="E354" s="1" t="n">
        <v>46295</v>
      </c>
      <c r="F354" t="inlineStr">
        <is>
          <t>JÖNKÖPINGS LÄN</t>
        </is>
      </c>
      <c r="G354" t="inlineStr">
        <is>
          <t>NÄSSJÖ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45109</v>
      </c>
      <c r="E355" s="1" t="n">
        <v>46295</v>
      </c>
      <c r="F355" t="inlineStr">
        <is>
          <t>JÖNKÖPINGS LÄN</t>
        </is>
      </c>
      <c r="G355" t="inlineStr">
        <is>
          <t>NÄSSJÖ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45109</v>
      </c>
      <c r="E356" s="1" t="n">
        <v>46295</v>
      </c>
      <c r="F356" t="inlineStr">
        <is>
          <t>JÖNKÖPINGS LÄN</t>
        </is>
      </c>
      <c r="G356" t="inlineStr">
        <is>
          <t>NÄSSJÖ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46295</v>
      </c>
      <c r="F357" t="inlineStr">
        <is>
          <t>JÖNKÖPINGS LÄN</t>
        </is>
      </c>
      <c r="G357" t="inlineStr">
        <is>
          <t>NÄSSJÖ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45132</v>
      </c>
      <c r="E358" s="1" t="n">
        <v>46295</v>
      </c>
      <c r="F358" t="inlineStr">
        <is>
          <t>JÖNKÖPINGS LÄN</t>
        </is>
      </c>
      <c r="G358" t="inlineStr">
        <is>
          <t>NÄSSJÖ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8212-2022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44609</v>
      </c>
      <c r="E359" s="1" t="n">
        <v>46295</v>
      </c>
      <c r="F359" t="inlineStr">
        <is>
          <t>JÖNKÖPINGS LÄN</t>
        </is>
      </c>
      <c r="G359" t="inlineStr">
        <is>
          <t>NÄSSJÖ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46295</v>
      </c>
      <c r="F360" t="inlineStr">
        <is>
          <t>JÖNKÖPINGS LÄN</t>
        </is>
      </c>
      <c r="G360" t="inlineStr">
        <is>
          <t>NÄSSJÖ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46295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46295</v>
      </c>
      <c r="F362" t="inlineStr">
        <is>
          <t>JÖNKÖPINGS LÄN</t>
        </is>
      </c>
      <c r="G362" t="inlineStr">
        <is>
          <t>NÄSSJÖ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20606-2026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46140</v>
      </c>
      <c r="E363" s="1" t="n">
        <v>46295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63896-2025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46020</v>
      </c>
      <c r="E364" s="1" t="n">
        <v>46295</v>
      </c>
      <c r="F364" t="inlineStr">
        <is>
          <t>JÖNKÖPINGS LÄN</t>
        </is>
      </c>
      <c r="G364" t="inlineStr">
        <is>
          <t>NÄSSJÖ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46295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45275</v>
      </c>
      <c r="E366" s="1" t="n">
        <v>46295</v>
      </c>
      <c r="F366" t="inlineStr">
        <is>
          <t>JÖNKÖPINGS LÄN</t>
        </is>
      </c>
      <c r="G366" t="inlineStr">
        <is>
          <t>NÄSSJÖ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45648-2024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45579</v>
      </c>
      <c r="E367" s="1" t="n">
        <v>46295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45190</v>
      </c>
      <c r="E368" s="1" t="n">
        <v>46295</v>
      </c>
      <c r="F368" t="inlineStr">
        <is>
          <t>JÖNKÖPINGS LÄN</t>
        </is>
      </c>
      <c r="G368" t="inlineStr">
        <is>
          <t>NÄSSJÖ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45446</v>
      </c>
      <c r="E369" s="1" t="n">
        <v>46295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46295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31172-2024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45503</v>
      </c>
      <c r="E371" s="1" t="n">
        <v>46295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46295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45335</v>
      </c>
      <c r="E373" s="1" t="n">
        <v>46295</v>
      </c>
      <c r="F373" t="inlineStr">
        <is>
          <t>JÖNKÖPINGS LÄN</t>
        </is>
      </c>
      <c r="G373" t="inlineStr">
        <is>
          <t>NÄSSJÖ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46295</v>
      </c>
      <c r="F374" t="inlineStr">
        <is>
          <t>JÖNKÖPINGS LÄN</t>
        </is>
      </c>
      <c r="G374" t="inlineStr">
        <is>
          <t>NÄSSJÖ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46295</v>
      </c>
      <c r="F375" t="inlineStr">
        <is>
          <t>JÖNKÖPINGS LÄN</t>
        </is>
      </c>
      <c r="G375" t="inlineStr">
        <is>
          <t>NÄSSJÖ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46295</v>
      </c>
      <c r="F376" t="inlineStr">
        <is>
          <t>JÖNKÖPINGS LÄN</t>
        </is>
      </c>
      <c r="G376" t="inlineStr">
        <is>
          <t>NÄSSJÖ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5230-2022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44594</v>
      </c>
      <c r="E377" s="1" t="n">
        <v>46295</v>
      </c>
      <c r="F377" t="inlineStr">
        <is>
          <t>JÖNKÖPINGS LÄN</t>
        </is>
      </c>
      <c r="G377" t="inlineStr">
        <is>
          <t>NÄSSJÖ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64665-2023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45281</v>
      </c>
      <c r="E378" s="1" t="n">
        <v>46295</v>
      </c>
      <c r="F378" t="inlineStr">
        <is>
          <t>JÖNKÖPINGS LÄN</t>
        </is>
      </c>
      <c r="G378" t="inlineStr">
        <is>
          <t>NÄSSJÖ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44988</v>
      </c>
      <c r="E379" s="1" t="n">
        <v>46295</v>
      </c>
      <c r="F379" t="inlineStr">
        <is>
          <t>JÖNKÖPINGS LÄN</t>
        </is>
      </c>
      <c r="G379" t="inlineStr">
        <is>
          <t>NÄSSJÖ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44816</v>
      </c>
      <c r="E380" s="1" t="n">
        <v>46295</v>
      </c>
      <c r="F380" t="inlineStr">
        <is>
          <t>JÖNKÖPINGS LÄN</t>
        </is>
      </c>
      <c r="G380" t="inlineStr">
        <is>
          <t>NÄSSJÖ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50488-2024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45601</v>
      </c>
      <c r="E381" s="1" t="n">
        <v>46295</v>
      </c>
      <c r="F381" t="inlineStr">
        <is>
          <t>JÖNKÖPINGS LÄN</t>
        </is>
      </c>
      <c r="G381" t="inlineStr">
        <is>
          <t>NÄSSJÖ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45162</v>
      </c>
      <c r="E382" s="1" t="n">
        <v>46295</v>
      </c>
      <c r="F382" t="inlineStr">
        <is>
          <t>JÖNKÖPINGS LÄN</t>
        </is>
      </c>
      <c r="G382" t="inlineStr">
        <is>
          <t>NÄSSJÖ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46154</v>
      </c>
      <c r="E383" s="1" t="n">
        <v>46295</v>
      </c>
      <c r="F383" t="inlineStr">
        <is>
          <t>JÖNKÖPINGS LÄN</t>
        </is>
      </c>
      <c r="G383" t="inlineStr">
        <is>
          <t>NÄSSJÖ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45372</v>
      </c>
      <c r="E384" s="1" t="n">
        <v>46295</v>
      </c>
      <c r="F384" t="inlineStr">
        <is>
          <t>JÖNKÖPINGS LÄN</t>
        </is>
      </c>
      <c r="G384" t="inlineStr">
        <is>
          <t>NÄSSJÖ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11363-2024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46295</v>
      </c>
      <c r="F385" t="inlineStr">
        <is>
          <t>JÖNKÖPINGS LÄN</t>
        </is>
      </c>
      <c r="G385" t="inlineStr">
        <is>
          <t>NÄSSJÖ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46295</v>
      </c>
      <c r="F386" t="inlineStr">
        <is>
          <t>JÖNKÖPINGS LÄN</t>
        </is>
      </c>
      <c r="G386" t="inlineStr">
        <is>
          <t>NÄSSJÖ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44664</v>
      </c>
      <c r="E387" s="1" t="n">
        <v>46295</v>
      </c>
      <c r="F387" t="inlineStr">
        <is>
          <t>JÖNKÖPINGS LÄN</t>
        </is>
      </c>
      <c r="G387" t="inlineStr">
        <is>
          <t>NÄSSJÖ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46295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46295</v>
      </c>
      <c r="F389" t="inlineStr">
        <is>
          <t>JÖNKÖPINGS LÄN</t>
        </is>
      </c>
      <c r="G389" t="inlineStr">
        <is>
          <t>NÄSSJÖ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46295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46295</v>
      </c>
      <c r="F391" t="inlineStr">
        <is>
          <t>JÖNKÖPINGS LÄN</t>
        </is>
      </c>
      <c r="G391" t="inlineStr">
        <is>
          <t>NÄSSJÖ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45695</v>
      </c>
      <c r="E392" s="1" t="n">
        <v>46295</v>
      </c>
      <c r="F392" t="inlineStr">
        <is>
          <t>JÖNKÖPINGS LÄN</t>
        </is>
      </c>
      <c r="G392" t="inlineStr">
        <is>
          <t>NÄSSJÖ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39832-2023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45168</v>
      </c>
      <c r="E393" s="1" t="n">
        <v>46295</v>
      </c>
      <c r="F393" t="inlineStr">
        <is>
          <t>JÖNKÖPINGS LÄN</t>
        </is>
      </c>
      <c r="G393" t="inlineStr">
        <is>
          <t>NÄSSJÖ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45685</v>
      </c>
      <c r="E394" s="1" t="n">
        <v>46295</v>
      </c>
      <c r="F394" t="inlineStr">
        <is>
          <t>JÖNKÖPINGS LÄN</t>
        </is>
      </c>
      <c r="G394" t="inlineStr">
        <is>
          <t>NÄSSJÖ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45083</v>
      </c>
      <c r="E395" s="1" t="n">
        <v>46295</v>
      </c>
      <c r="F395" t="inlineStr">
        <is>
          <t>JÖNKÖPINGS LÄN</t>
        </is>
      </c>
      <c r="G395" t="inlineStr">
        <is>
          <t>NÄSSJÖ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46295</v>
      </c>
      <c r="F396" t="inlineStr">
        <is>
          <t>JÖNKÖPINGS LÄN</t>
        </is>
      </c>
      <c r="G396" t="inlineStr">
        <is>
          <t>NÄSSJÖ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45702</v>
      </c>
      <c r="E397" s="1" t="n">
        <v>46295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45720</v>
      </c>
      <c r="E398" s="1" t="n">
        <v>46295</v>
      </c>
      <c r="F398" t="inlineStr">
        <is>
          <t>JÖNKÖPINGS LÄN</t>
        </is>
      </c>
      <c r="G398" t="inlineStr">
        <is>
          <t>NÄSSJÖ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46295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46295</v>
      </c>
      <c r="F400" t="inlineStr">
        <is>
          <t>JÖNKÖPINGS LÄN</t>
        </is>
      </c>
      <c r="G400" t="inlineStr">
        <is>
          <t>NÄSSJÖ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44360-2023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45188</v>
      </c>
      <c r="E401" s="1" t="n">
        <v>46295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44151-2023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46295</v>
      </c>
      <c r="F402" t="inlineStr">
        <is>
          <t>JÖNKÖPINGS LÄN</t>
        </is>
      </c>
      <c r="G402" t="inlineStr">
        <is>
          <t>NÄSSJÖ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45460</v>
      </c>
      <c r="E403" s="1" t="n">
        <v>46295</v>
      </c>
      <c r="F403" t="inlineStr">
        <is>
          <t>JÖNKÖPINGS LÄN</t>
        </is>
      </c>
      <c r="G403" t="inlineStr">
        <is>
          <t>NÄSSJÖ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46295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46295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46295</v>
      </c>
      <c r="F406" t="inlineStr">
        <is>
          <t>JÖNKÖPINGS LÄN</t>
        </is>
      </c>
      <c r="G406" t="inlineStr">
        <is>
          <t>NÄSSJÖ</t>
        </is>
      </c>
      <c r="I406" t="n">
        <v>11.8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46295</v>
      </c>
      <c r="F407" t="inlineStr">
        <is>
          <t>JÖNKÖPINGS LÄN</t>
        </is>
      </c>
      <c r="G407" t="inlineStr">
        <is>
          <t>NÄSSJÖ</t>
        </is>
      </c>
      <c r="I407" t="n">
        <v>11.3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24873-2026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46174</v>
      </c>
      <c r="E408" s="1" t="n">
        <v>46295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46295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45695</v>
      </c>
      <c r="E410" s="1" t="n">
        <v>46295</v>
      </c>
      <c r="F410" t="inlineStr">
        <is>
          <t>JÖNKÖPINGS LÄN</t>
        </is>
      </c>
      <c r="G410" t="inlineStr">
        <is>
          <t>NÄSSJÖ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45259</v>
      </c>
      <c r="E411" s="1" t="n">
        <v>46295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46295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46295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46295</v>
      </c>
      <c r="F414" t="inlineStr">
        <is>
          <t>JÖNKÖPINGS LÄN</t>
        </is>
      </c>
      <c r="G414" t="inlineStr">
        <is>
          <t>NÄSSJÖ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46295</v>
      </c>
      <c r="F415" t="inlineStr">
        <is>
          <t>JÖNKÖPINGS LÄN</t>
        </is>
      </c>
      <c r="G415" t="inlineStr">
        <is>
          <t>NÄSSJÖ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46295</v>
      </c>
      <c r="F416" t="inlineStr">
        <is>
          <t>JÖNKÖPINGS LÄN</t>
        </is>
      </c>
      <c r="G416" t="inlineStr">
        <is>
          <t>NÄSSJÖ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58236-2023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45245</v>
      </c>
      <c r="E417" s="1" t="n">
        <v>46295</v>
      </c>
      <c r="F417" t="inlineStr">
        <is>
          <t>JÖNKÖPINGS LÄN</t>
        </is>
      </c>
      <c r="G417" t="inlineStr">
        <is>
          <t>NÄSSJÖ</t>
        </is>
      </c>
      <c r="H417" t="inlineStr">
        <is>
          <t>Kommuner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45215</v>
      </c>
      <c r="E418" s="1" t="n">
        <v>46295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46295</v>
      </c>
      <c r="F419" t="inlineStr">
        <is>
          <t>JÖNKÖPINGS LÄN</t>
        </is>
      </c>
      <c r="G419" t="inlineStr">
        <is>
          <t>NÄSSJÖ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45219</v>
      </c>
      <c r="E420" s="1" t="n">
        <v>46295</v>
      </c>
      <c r="F420" t="inlineStr">
        <is>
          <t>JÖNKÖPINGS LÄN</t>
        </is>
      </c>
      <c r="G420" t="inlineStr">
        <is>
          <t>NÄSSJÖ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45320</v>
      </c>
      <c r="E421" s="1" t="n">
        <v>46295</v>
      </c>
      <c r="F421" t="inlineStr">
        <is>
          <t>JÖNKÖPINGS LÄN</t>
        </is>
      </c>
      <c r="G421" t="inlineStr">
        <is>
          <t>NÄSSJÖ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46295</v>
      </c>
      <c r="F422" t="inlineStr">
        <is>
          <t>JÖNKÖPINGS LÄN</t>
        </is>
      </c>
      <c r="G422" t="inlineStr">
        <is>
          <t>NÄSSJÖ</t>
        </is>
      </c>
      <c r="H422" t="inlineStr">
        <is>
          <t>Kyrkan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45361</v>
      </c>
      <c r="E423" s="1" t="n">
        <v>46295</v>
      </c>
      <c r="F423" t="inlineStr">
        <is>
          <t>JÖNKÖPINGS LÄN</t>
        </is>
      </c>
      <c r="G423" t="inlineStr">
        <is>
          <t>NÄSSJÖ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45213</v>
      </c>
      <c r="E424" s="1" t="n">
        <v>46295</v>
      </c>
      <c r="F424" t="inlineStr">
        <is>
          <t>JÖNKÖPINGS LÄN</t>
        </is>
      </c>
      <c r="G424" t="inlineStr">
        <is>
          <t>NÄSSJÖ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46295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46187</v>
      </c>
      <c r="E426" s="1" t="n">
        <v>46295</v>
      </c>
      <c r="F426" t="inlineStr">
        <is>
          <t>JÖNKÖPINGS LÄN</t>
        </is>
      </c>
      <c r="G426" t="inlineStr">
        <is>
          <t>NÄSSJÖ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46187</v>
      </c>
      <c r="E427" s="1" t="n">
        <v>46295</v>
      </c>
      <c r="F427" t="inlineStr">
        <is>
          <t>JÖNKÖPINGS LÄN</t>
        </is>
      </c>
      <c r="G427" t="inlineStr">
        <is>
          <t>NÄSSJÖ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46187</v>
      </c>
      <c r="E428" s="1" t="n">
        <v>46295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46295</v>
      </c>
      <c r="F429" t="inlineStr">
        <is>
          <t>JÖNKÖPINGS LÄN</t>
        </is>
      </c>
      <c r="G429" t="inlineStr">
        <is>
          <t>NÄSSJÖ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44956</v>
      </c>
      <c r="E430" s="1" t="n">
        <v>46295</v>
      </c>
      <c r="F430" t="inlineStr">
        <is>
          <t>JÖNKÖPINGS LÄN</t>
        </is>
      </c>
      <c r="G430" t="inlineStr">
        <is>
          <t>NÄSSJÖ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52605-2022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44874</v>
      </c>
      <c r="E431" s="1" t="n">
        <v>46295</v>
      </c>
      <c r="F431" t="inlineStr">
        <is>
          <t>JÖNKÖPINGS LÄN</t>
        </is>
      </c>
      <c r="G431" t="inlineStr">
        <is>
          <t>NÄSSJÖ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45259</v>
      </c>
      <c r="E432" s="1" t="n">
        <v>46295</v>
      </c>
      <c r="F432" t="inlineStr">
        <is>
          <t>JÖNKÖPINGS LÄN</t>
        </is>
      </c>
      <c r="G432" t="inlineStr">
        <is>
          <t>NÄSSJÖ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46295</v>
      </c>
      <c r="F433" t="inlineStr">
        <is>
          <t>JÖNKÖPINGS LÄN</t>
        </is>
      </c>
      <c r="G433" t="inlineStr">
        <is>
          <t>NÄSSJÖ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45009</v>
      </c>
      <c r="E434" s="1" t="n">
        <v>46295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46295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46295</v>
      </c>
      <c r="F436" t="inlineStr">
        <is>
          <t>JÖNKÖPINGS LÄN</t>
        </is>
      </c>
      <c r="G436" t="inlineStr">
        <is>
          <t>NÄSSJÖ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46295</v>
      </c>
      <c r="F437" t="inlineStr">
        <is>
          <t>JÖNKÖPINGS LÄN</t>
        </is>
      </c>
      <c r="G437" t="inlineStr">
        <is>
          <t>NÄSSJÖ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46295</v>
      </c>
      <c r="F438" t="inlineStr">
        <is>
          <t>JÖNKÖPINGS LÄN</t>
        </is>
      </c>
      <c r="G438" t="inlineStr">
        <is>
          <t>NÄSSJÖ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46196</v>
      </c>
      <c r="E439" s="1" t="n">
        <v>46295</v>
      </c>
      <c r="F439" t="inlineStr">
        <is>
          <t>JÖNKÖPINGS LÄN</t>
        </is>
      </c>
      <c r="G439" t="inlineStr">
        <is>
          <t>NÄSSJÖ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46295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46295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46295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45488</v>
      </c>
      <c r="E443" s="1" t="n">
        <v>46295</v>
      </c>
      <c r="F443" t="inlineStr">
        <is>
          <t>JÖNKÖPINGS LÄN</t>
        </is>
      </c>
      <c r="G443" t="inlineStr">
        <is>
          <t>NÄSSJÖ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59348-2022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44904</v>
      </c>
      <c r="E444" s="1" t="n">
        <v>46295</v>
      </c>
      <c r="F444" t="inlineStr">
        <is>
          <t>JÖNKÖPINGS LÄN</t>
        </is>
      </c>
      <c r="G444" t="inlineStr">
        <is>
          <t>NÄSSJÖ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64057-2023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46295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46295</v>
      </c>
      <c r="F446" t="inlineStr">
        <is>
          <t>JÖNKÖPINGS LÄN</t>
        </is>
      </c>
      <c r="G446" t="inlineStr">
        <is>
          <t>NÄSSJÖ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46295</v>
      </c>
      <c r="F447" t="inlineStr">
        <is>
          <t>JÖNKÖPINGS LÄN</t>
        </is>
      </c>
      <c r="G447" t="inlineStr">
        <is>
          <t>NÄSSJÖ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46295</v>
      </c>
      <c r="F448" t="inlineStr">
        <is>
          <t>JÖNKÖPINGS LÄN</t>
        </is>
      </c>
      <c r="G448" t="inlineStr">
        <is>
          <t>NÄSSJÖ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44984</v>
      </c>
      <c r="E449" s="1" t="n">
        <v>46295</v>
      </c>
      <c r="F449" t="inlineStr">
        <is>
          <t>JÖNKÖPINGS LÄN</t>
        </is>
      </c>
      <c r="G449" t="inlineStr">
        <is>
          <t>NÄSSJÖ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46295</v>
      </c>
      <c r="F450" t="inlineStr">
        <is>
          <t>JÖNKÖPINGS LÄN</t>
        </is>
      </c>
      <c r="G450" t="inlineStr">
        <is>
          <t>NÄSSJÖ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45693</v>
      </c>
      <c r="E451" s="1" t="n">
        <v>46295</v>
      </c>
      <c r="F451" t="inlineStr">
        <is>
          <t>JÖNKÖPINGS LÄN</t>
        </is>
      </c>
      <c r="G451" t="inlineStr">
        <is>
          <t>NÄSSJÖ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46295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44881</v>
      </c>
      <c r="E453" s="1" t="n">
        <v>46295</v>
      </c>
      <c r="F453" t="inlineStr">
        <is>
          <t>JÖNKÖPINGS LÄN</t>
        </is>
      </c>
      <c r="G453" t="inlineStr">
        <is>
          <t>NÄSSJÖ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16850-2025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45754</v>
      </c>
      <c r="E454" s="1" t="n">
        <v>46295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46295</v>
      </c>
      <c r="F455" t="inlineStr">
        <is>
          <t>JÖNKÖPINGS LÄN</t>
        </is>
      </c>
      <c r="G455" t="inlineStr">
        <is>
          <t>NÄSSJÖ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46295</v>
      </c>
      <c r="F456" t="inlineStr">
        <is>
          <t>JÖNKÖPINGS LÄN</t>
        </is>
      </c>
      <c r="G456" t="inlineStr">
        <is>
          <t>NÄSSJÖ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58541-2022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44902</v>
      </c>
      <c r="E457" s="1" t="n">
        <v>46295</v>
      </c>
      <c r="F457" t="inlineStr">
        <is>
          <t>JÖNKÖPINGS LÄN</t>
        </is>
      </c>
      <c r="G457" t="inlineStr">
        <is>
          <t>NÄSSJÖ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44603</v>
      </c>
      <c r="E458" s="1" t="n">
        <v>46295</v>
      </c>
      <c r="F458" t="inlineStr">
        <is>
          <t>JÖNKÖPINGS LÄN</t>
        </is>
      </c>
      <c r="G458" t="inlineStr">
        <is>
          <t>NÄSSJÖ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71606-2021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44541</v>
      </c>
      <c r="E459" s="1" t="n">
        <v>46295</v>
      </c>
      <c r="F459" t="inlineStr">
        <is>
          <t>JÖNKÖPINGS LÄN</t>
        </is>
      </c>
      <c r="G459" t="inlineStr">
        <is>
          <t>NÄSSJÖ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45475</v>
      </c>
      <c r="E460" s="1" t="n">
        <v>46295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46295</v>
      </c>
      <c r="F461" t="inlineStr">
        <is>
          <t>JÖNKÖPINGS LÄN</t>
        </is>
      </c>
      <c r="G461" t="inlineStr">
        <is>
          <t>NÄSSJÖ</t>
        </is>
      </c>
      <c r="H461" t="inlineStr">
        <is>
          <t>Sveaskog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46209</v>
      </c>
      <c r="E462" s="1" t="n">
        <v>46295</v>
      </c>
      <c r="F462" t="inlineStr">
        <is>
          <t>JÖNKÖPINGS LÄN</t>
        </is>
      </c>
      <c r="G462" t="inlineStr">
        <is>
          <t>NÄSSJÖ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46295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30382-2026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46209</v>
      </c>
      <c r="E464" s="1" t="n">
        <v>46295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46295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46295</v>
      </c>
      <c r="F466" t="inlineStr">
        <is>
          <t>JÖNKÖPINGS LÄN</t>
        </is>
      </c>
      <c r="G466" t="inlineStr">
        <is>
          <t>NÄSSJÖ</t>
        </is>
      </c>
      <c r="H466" t="inlineStr">
        <is>
          <t>Sveaskog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45402</v>
      </c>
      <c r="E467" s="1" t="n">
        <v>46295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45184</v>
      </c>
      <c r="E468" s="1" t="n">
        <v>46295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46295</v>
      </c>
      <c r="F469" t="inlineStr">
        <is>
          <t>JÖNKÖPINGS LÄN</t>
        </is>
      </c>
      <c r="G469" t="inlineStr">
        <is>
          <t>NÄSSJÖ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45162</v>
      </c>
      <c r="E470" s="1" t="n">
        <v>46295</v>
      </c>
      <c r="F470" t="inlineStr">
        <is>
          <t>JÖNKÖPINGS LÄN</t>
        </is>
      </c>
      <c r="G470" t="inlineStr">
        <is>
          <t>NÄSSJÖ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46295</v>
      </c>
      <c r="F471" t="inlineStr">
        <is>
          <t>JÖNKÖPINGS LÄN</t>
        </is>
      </c>
      <c r="G471" t="inlineStr">
        <is>
          <t>NÄSSJÖ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46295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45270</v>
      </c>
      <c r="E473" s="1" t="n">
        <v>46295</v>
      </c>
      <c r="F473" t="inlineStr">
        <is>
          <t>JÖNKÖPINGS LÄN</t>
        </is>
      </c>
      <c r="G473" t="inlineStr">
        <is>
          <t>NÄSSJÖ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49440-2024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45595</v>
      </c>
      <c r="E474" s="1" t="n">
        <v>46295</v>
      </c>
      <c r="F474" t="inlineStr">
        <is>
          <t>JÖNKÖPINGS LÄN</t>
        </is>
      </c>
      <c r="G474" t="inlineStr">
        <is>
          <t>NÄSSJÖ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46295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46295</v>
      </c>
      <c r="F476" t="inlineStr">
        <is>
          <t>JÖNKÖPINGS LÄN</t>
        </is>
      </c>
      <c r="G476" t="inlineStr">
        <is>
          <t>NÄSSJÖ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44916</v>
      </c>
      <c r="E477" s="1" t="n">
        <v>46295</v>
      </c>
      <c r="F477" t="inlineStr">
        <is>
          <t>JÖNKÖPINGS LÄN</t>
        </is>
      </c>
      <c r="G477" t="inlineStr">
        <is>
          <t>NÄSSJÖ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46295</v>
      </c>
      <c r="F478" t="inlineStr">
        <is>
          <t>JÖNKÖPINGS LÄN</t>
        </is>
      </c>
      <c r="G478" t="inlineStr">
        <is>
          <t>NÄSSJÖ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46295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52250-2022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44873</v>
      </c>
      <c r="E480" s="1" t="n">
        <v>46295</v>
      </c>
      <c r="F480" t="inlineStr">
        <is>
          <t>JÖNKÖPINGS LÄN</t>
        </is>
      </c>
      <c r="G480" t="inlineStr">
        <is>
          <t>NÄSSJÖ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46295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46295</v>
      </c>
      <c r="F482" t="inlineStr">
        <is>
          <t>JÖNKÖPINGS LÄN</t>
        </is>
      </c>
      <c r="G482" t="inlineStr">
        <is>
          <t>NÄSSJÖ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46295</v>
      </c>
      <c r="F483" t="inlineStr">
        <is>
          <t>JÖNKÖPINGS LÄN</t>
        </is>
      </c>
      <c r="G483" t="inlineStr">
        <is>
          <t>NÄSSJÖ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45277</v>
      </c>
      <c r="E484" s="1" t="n">
        <v>46295</v>
      </c>
      <c r="F484" t="inlineStr">
        <is>
          <t>JÖNKÖPINGS LÄN</t>
        </is>
      </c>
      <c r="G484" t="inlineStr">
        <is>
          <t>NÄSSJÖ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46260</v>
      </c>
      <c r="E485" s="1" t="n">
        <v>46295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44976</v>
      </c>
      <c r="E486" s="1" t="n">
        <v>46295</v>
      </c>
      <c r="F486" t="inlineStr">
        <is>
          <t>JÖNKÖPINGS LÄN</t>
        </is>
      </c>
      <c r="G486" t="inlineStr">
        <is>
          <t>NÄSSJÖ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44980</v>
      </c>
      <c r="E487" s="1" t="n">
        <v>46295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57627-2021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44484</v>
      </c>
      <c r="E488" s="1" t="n">
        <v>46295</v>
      </c>
      <c r="F488" t="inlineStr">
        <is>
          <t>JÖNKÖPINGS LÄN</t>
        </is>
      </c>
      <c r="G488" t="inlineStr">
        <is>
          <t>NÄSSJÖ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45154</v>
      </c>
      <c r="E489" s="1" t="n">
        <v>46295</v>
      </c>
      <c r="F489" t="inlineStr">
        <is>
          <t>JÖNKÖPINGS LÄN</t>
        </is>
      </c>
      <c r="G489" t="inlineStr">
        <is>
          <t>NÄSSJÖ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15759-2023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46295</v>
      </c>
      <c r="F490" t="inlineStr">
        <is>
          <t>JÖNKÖPINGS LÄN</t>
        </is>
      </c>
      <c r="G490" t="inlineStr">
        <is>
          <t>NÄSSJÖ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45188</v>
      </c>
      <c r="E491" s="1" t="n">
        <v>46295</v>
      </c>
      <c r="F491" t="inlineStr">
        <is>
          <t>JÖNKÖPINGS LÄN</t>
        </is>
      </c>
      <c r="G491" t="inlineStr">
        <is>
          <t>NÄSSJÖ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45302</v>
      </c>
      <c r="E492" s="1" t="n">
        <v>46295</v>
      </c>
      <c r="F492" t="inlineStr">
        <is>
          <t>JÖNKÖPINGS LÄN</t>
        </is>
      </c>
      <c r="G492" t="inlineStr">
        <is>
          <t>NÄSSJÖ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11355-2024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45372</v>
      </c>
      <c r="E493" s="1" t="n">
        <v>46295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11361-2024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45372</v>
      </c>
      <c r="E494" s="1" t="n">
        <v>46295</v>
      </c>
      <c r="F494" t="inlineStr">
        <is>
          <t>JÖNKÖPINGS LÄN</t>
        </is>
      </c>
      <c r="G494" t="inlineStr">
        <is>
          <t>NÄSSJÖ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46295</v>
      </c>
      <c r="F495" t="inlineStr">
        <is>
          <t>JÖNKÖPINGS LÄN</t>
        </is>
      </c>
      <c r="G495" t="inlineStr">
        <is>
          <t>NÄSSJÖ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11020-2024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45370</v>
      </c>
      <c r="E496" s="1" t="n">
        <v>46295</v>
      </c>
      <c r="F496" t="inlineStr">
        <is>
          <t>JÖNKÖPINGS LÄN</t>
        </is>
      </c>
      <c r="G496" t="inlineStr">
        <is>
          <t>NÄSSJÖ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58553-2022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44902</v>
      </c>
      <c r="E497" s="1" t="n">
        <v>46295</v>
      </c>
      <c r="F497" t="inlineStr">
        <is>
          <t>JÖNKÖPINGS LÄN</t>
        </is>
      </c>
      <c r="G497" t="inlineStr">
        <is>
          <t>NÄSSJÖ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45412</v>
      </c>
      <c r="E498" s="1" t="n">
        <v>46295</v>
      </c>
      <c r="F498" t="inlineStr">
        <is>
          <t>JÖNKÖPINGS LÄN</t>
        </is>
      </c>
      <c r="G498" t="inlineStr">
        <is>
          <t>NÄSSJÖ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53962-2024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46295</v>
      </c>
      <c r="F499" t="inlineStr">
        <is>
          <t>JÖNKÖPINGS LÄN</t>
        </is>
      </c>
      <c r="G499" t="inlineStr">
        <is>
          <t>NÄSSJÖ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45182</v>
      </c>
      <c r="E500" s="1" t="n">
        <v>46295</v>
      </c>
      <c r="F500" t="inlineStr">
        <is>
          <t>JÖNKÖPINGS LÄN</t>
        </is>
      </c>
      <c r="G500" t="inlineStr">
        <is>
          <t>NÄSSJÖ</t>
        </is>
      </c>
      <c r="H500" t="inlineStr">
        <is>
          <t>Övriga Aktiebolag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45454</v>
      </c>
      <c r="E501" s="1" t="n">
        <v>46295</v>
      </c>
      <c r="F501" t="inlineStr">
        <is>
          <t>JÖNKÖPINGS LÄN</t>
        </is>
      </c>
      <c r="G501" t="inlineStr">
        <is>
          <t>NÄSSJÖ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44564</v>
      </c>
      <c r="E502" s="1" t="n">
        <v>46295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45303</v>
      </c>
      <c r="E503" s="1" t="n">
        <v>46295</v>
      </c>
      <c r="F503" t="inlineStr">
        <is>
          <t>JÖNKÖPINGS LÄN</t>
        </is>
      </c>
      <c r="G503" t="inlineStr">
        <is>
          <t>NÄSSJÖ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45460</v>
      </c>
      <c r="E504" s="1" t="n">
        <v>46295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55605-2023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46295</v>
      </c>
      <c r="F505" t="inlineStr">
        <is>
          <t>JÖNKÖPINGS LÄN</t>
        </is>
      </c>
      <c r="G505" t="inlineStr">
        <is>
          <t>NÄSSJÖ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28340-2023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45099</v>
      </c>
      <c r="E506" s="1" t="n">
        <v>46295</v>
      </c>
      <c r="F506" t="inlineStr">
        <is>
          <t>JÖNKÖPINGS LÄN</t>
        </is>
      </c>
      <c r="G506" t="inlineStr">
        <is>
          <t>NÄSSJÖ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44873</v>
      </c>
      <c r="E507" s="1" t="n">
        <v>46295</v>
      </c>
      <c r="F507" t="inlineStr">
        <is>
          <t>JÖNKÖPINGS LÄN</t>
        </is>
      </c>
      <c r="G507" t="inlineStr">
        <is>
          <t>NÄSSJÖ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53636-2024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46295</v>
      </c>
      <c r="F508" t="inlineStr">
        <is>
          <t>JÖNKÖPINGS LÄN</t>
        </is>
      </c>
      <c r="G508" t="inlineStr">
        <is>
          <t>NÄSSJÖ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46295</v>
      </c>
      <c r="F509" t="inlineStr">
        <is>
          <t>JÖNKÖPINGS LÄN</t>
        </is>
      </c>
      <c r="G509" t="inlineStr">
        <is>
          <t>NÄSSJÖ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45680</v>
      </c>
      <c r="E510" s="1" t="n">
        <v>46295</v>
      </c>
      <c r="F510" t="inlineStr">
        <is>
          <t>JÖNKÖPINGS LÄN</t>
        </is>
      </c>
      <c r="G510" t="inlineStr">
        <is>
          <t>NÄSSJÖ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54381-2024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46295</v>
      </c>
      <c r="F511" t="inlineStr">
        <is>
          <t>JÖNKÖPINGS LÄN</t>
        </is>
      </c>
      <c r="G511" t="inlineStr">
        <is>
          <t>NÄSSJÖ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15325-2022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44659</v>
      </c>
      <c r="E512" s="1" t="n">
        <v>46295</v>
      </c>
      <c r="F512" t="inlineStr">
        <is>
          <t>JÖNKÖPINGS LÄN</t>
        </is>
      </c>
      <c r="G512" t="inlineStr">
        <is>
          <t>NÄSSJÖ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46295</v>
      </c>
      <c r="F513" t="inlineStr">
        <is>
          <t>JÖNKÖPINGS LÄN</t>
        </is>
      </c>
      <c r="G513" t="inlineStr">
        <is>
          <t>NÄSSJÖ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46295</v>
      </c>
      <c r="F514" t="inlineStr">
        <is>
          <t>JÖNKÖPINGS LÄN</t>
        </is>
      </c>
      <c r="G514" t="inlineStr">
        <is>
          <t>NÄSSJÖ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45046</v>
      </c>
      <c r="E515" s="1" t="n">
        <v>46295</v>
      </c>
      <c r="F515" t="inlineStr">
        <is>
          <t>JÖNKÖPINGS LÄN</t>
        </is>
      </c>
      <c r="G515" t="inlineStr">
        <is>
          <t>NÄSSJÖ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45236</v>
      </c>
      <c r="E516" s="1" t="n">
        <v>46295</v>
      </c>
      <c r="F516" t="inlineStr">
        <is>
          <t>JÖNKÖPINGS LÄN</t>
        </is>
      </c>
      <c r="G516" t="inlineStr">
        <is>
          <t>NÄSSJÖ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42751-2023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46295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38346-2026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46282</v>
      </c>
      <c r="E518" s="1" t="n">
        <v>46295</v>
      </c>
      <c r="F518" t="inlineStr">
        <is>
          <t>JÖNKÖPINGS LÄN</t>
        </is>
      </c>
      <c r="G518" t="inlineStr">
        <is>
          <t>NÄSSJÖ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45056</v>
      </c>
      <c r="E519" s="1" t="n">
        <v>46295</v>
      </c>
      <c r="F519" t="inlineStr">
        <is>
          <t>JÖNKÖPINGS LÄN</t>
        </is>
      </c>
      <c r="G519" t="inlineStr">
        <is>
          <t>NÄSSJÖ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46283</v>
      </c>
      <c r="E520" s="1" t="n">
        <v>46295</v>
      </c>
      <c r="F520" t="inlineStr">
        <is>
          <t>JÖNKÖPINGS LÄN</t>
        </is>
      </c>
      <c r="G520" t="inlineStr">
        <is>
          <t>NÄSSJÖ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46295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38541-2026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46283</v>
      </c>
      <c r="E522" s="1" t="n">
        <v>46295</v>
      </c>
      <c r="F522" t="inlineStr">
        <is>
          <t>JÖNKÖPINGS LÄN</t>
        </is>
      </c>
      <c r="G522" t="inlineStr">
        <is>
          <t>NÄSSJÖ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46243</v>
      </c>
      <c r="E523" s="1" t="n">
        <v>46295</v>
      </c>
      <c r="F523" t="inlineStr">
        <is>
          <t>JÖNKÖPINGS LÄN</t>
        </is>
      </c>
      <c r="G523" t="inlineStr">
        <is>
          <t>NÄSSJÖ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46295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46243</v>
      </c>
      <c r="E525" s="1" t="n">
        <v>46295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45257</v>
      </c>
      <c r="E526" s="1" t="n">
        <v>46295</v>
      </c>
      <c r="F526" t="inlineStr">
        <is>
          <t>JÖNKÖPINGS LÄN</t>
        </is>
      </c>
      <c r="G526" t="inlineStr">
        <is>
          <t>NÄSSJÖ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46283</v>
      </c>
      <c r="E527" s="1" t="n">
        <v>46295</v>
      </c>
      <c r="F527" t="inlineStr">
        <is>
          <t>JÖNKÖPINGS LÄN</t>
        </is>
      </c>
      <c r="G527" t="inlineStr">
        <is>
          <t>NÄSSJÖ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7052-2024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45343</v>
      </c>
      <c r="E528" s="1" t="n">
        <v>46295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46243</v>
      </c>
      <c r="E529" s="1" t="n">
        <v>46295</v>
      </c>
      <c r="F529" t="inlineStr">
        <is>
          <t>JÖNKÖPINGS LÄN</t>
        </is>
      </c>
      <c r="G529" t="inlineStr">
        <is>
          <t>NÄSSJÖ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46243</v>
      </c>
      <c r="E530" s="1" t="n">
        <v>46295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46243</v>
      </c>
      <c r="E531" s="1" t="n">
        <v>46295</v>
      </c>
      <c r="F531" t="inlineStr">
        <is>
          <t>JÖNKÖPINGS LÄN</t>
        </is>
      </c>
      <c r="G531" t="inlineStr">
        <is>
          <t>NÄSSJÖ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46295</v>
      </c>
      <c r="F532" t="inlineStr">
        <is>
          <t>JÖNKÖPINGS LÄN</t>
        </is>
      </c>
      <c r="G532" t="inlineStr">
        <is>
          <t>NÄSSJÖ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45448</v>
      </c>
      <c r="E533" s="1" t="n">
        <v>46295</v>
      </c>
      <c r="F533" t="inlineStr">
        <is>
          <t>JÖNKÖPINGS LÄN</t>
        </is>
      </c>
      <c r="G533" t="inlineStr">
        <is>
          <t>NÄSSJÖ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46283</v>
      </c>
      <c r="E534" s="1" t="n">
        <v>46295</v>
      </c>
      <c r="F534" t="inlineStr">
        <is>
          <t>JÖNKÖPINGS LÄN</t>
        </is>
      </c>
      <c r="G534" t="inlineStr">
        <is>
          <t>NÄSSJÖ</t>
        </is>
      </c>
      <c r="H534" t="inlineStr">
        <is>
          <t>Kyrkan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45756</v>
      </c>
      <c r="E535" s="1" t="n">
        <v>46295</v>
      </c>
      <c r="F535" t="inlineStr">
        <is>
          <t>JÖNKÖPINGS LÄN</t>
        </is>
      </c>
      <c r="G535" t="inlineStr">
        <is>
          <t>NÄSSJÖ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45365</v>
      </c>
      <c r="E536" s="1" t="n">
        <v>46295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60838-2024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45644</v>
      </c>
      <c r="E537" s="1" t="n">
        <v>46295</v>
      </c>
      <c r="F537" t="inlineStr">
        <is>
          <t>JÖNKÖPINGS LÄN</t>
        </is>
      </c>
      <c r="G537" t="inlineStr">
        <is>
          <t>NÄSSJÖ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56411-2024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45625</v>
      </c>
      <c r="E538" s="1" t="n">
        <v>46295</v>
      </c>
      <c r="F538" t="inlineStr">
        <is>
          <t>JÖNKÖPINGS LÄN</t>
        </is>
      </c>
      <c r="G538" t="inlineStr">
        <is>
          <t>NÄSSJÖ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12950-2025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46295</v>
      </c>
      <c r="F539" t="inlineStr">
        <is>
          <t>JÖNKÖPINGS LÄN</t>
        </is>
      </c>
      <c r="G539" t="inlineStr">
        <is>
          <t>NÄSSJÖ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46295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46295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46295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45238</v>
      </c>
      <c r="E543" s="1" t="n">
        <v>46295</v>
      </c>
      <c r="F543" t="inlineStr">
        <is>
          <t>JÖNKÖPINGS LÄN</t>
        </is>
      </c>
      <c r="G543" t="inlineStr">
        <is>
          <t>NÄSSJÖ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39211-2026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46287</v>
      </c>
      <c r="E544" s="1" t="n">
        <v>46295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46295</v>
      </c>
      <c r="F545" t="inlineStr">
        <is>
          <t>JÖNKÖPINGS LÄN</t>
        </is>
      </c>
      <c r="G545" t="inlineStr">
        <is>
          <t>NÄSSJÖ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46295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39845-2026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46290</v>
      </c>
      <c r="E547" s="1" t="n">
        <v>46295</v>
      </c>
      <c r="F547" t="inlineStr">
        <is>
          <t>JÖNKÖPINGS LÄN</t>
        </is>
      </c>
      <c r="G547" t="inlineStr">
        <is>
          <t>NÄSSJÖ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45776</v>
      </c>
      <c r="E548" s="1" t="n">
        <v>46295</v>
      </c>
      <c r="F548" t="inlineStr">
        <is>
          <t>JÖNKÖPINGS LÄN</t>
        </is>
      </c>
      <c r="G548" t="inlineStr">
        <is>
          <t>NÄSSJÖ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46295</v>
      </c>
      <c r="F549" t="inlineStr">
        <is>
          <t>JÖNKÖPINGS LÄN</t>
        </is>
      </c>
      <c r="G549" t="inlineStr">
        <is>
          <t>NÄSSJÖ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46295</v>
      </c>
      <c r="F550" t="inlineStr">
        <is>
          <t>JÖNKÖPINGS LÄN</t>
        </is>
      </c>
      <c r="G550" t="inlineStr">
        <is>
          <t>NÄSSJÖ</t>
        </is>
      </c>
      <c r="H550" t="inlineStr">
        <is>
          <t>Kyrkan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39740-2026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46289</v>
      </c>
      <c r="E551" s="1" t="n">
        <v>46295</v>
      </c>
      <c r="F551" t="inlineStr">
        <is>
          <t>JÖNKÖPINGS LÄN</t>
        </is>
      </c>
      <c r="G551" t="inlineStr">
        <is>
          <t>NÄSSJÖ</t>
        </is>
      </c>
      <c r="H551" t="inlineStr">
        <is>
          <t>Kyrkan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21989-2025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46295</v>
      </c>
      <c r="F552" t="inlineStr">
        <is>
          <t>JÖNKÖPINGS LÄN</t>
        </is>
      </c>
      <c r="G552" t="inlineStr">
        <is>
          <t>NÄSSJÖ</t>
        </is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46295</v>
      </c>
      <c r="F553" t="inlineStr">
        <is>
          <t>JÖNKÖPINGS LÄN</t>
        </is>
      </c>
      <c r="G553" t="inlineStr">
        <is>
          <t>NÄSSJÖ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61302-2025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46295</v>
      </c>
      <c r="F554" t="inlineStr">
        <is>
          <t>JÖNKÖPINGS LÄN</t>
        </is>
      </c>
      <c r="G554" t="inlineStr">
        <is>
          <t>NÄSSJÖ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46295</v>
      </c>
      <c r="F555" t="inlineStr">
        <is>
          <t>JÖNKÖPINGS LÄN</t>
        </is>
      </c>
      <c r="G555" t="inlineStr">
        <is>
          <t>NÄSSJÖ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46295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46295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40332-2026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46295</v>
      </c>
      <c r="F558" t="inlineStr">
        <is>
          <t>JÖNKÖPINGS LÄN</t>
        </is>
      </c>
      <c r="G558" t="inlineStr">
        <is>
          <t>NÄSSJÖ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46294</v>
      </c>
      <c r="E559" s="1" t="n">
        <v>46295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46294</v>
      </c>
      <c r="E560" s="1" t="n">
        <v>46295</v>
      </c>
      <c r="F560" t="inlineStr">
        <is>
          <t>JÖNKÖPINGS LÄN</t>
        </is>
      </c>
      <c r="G560" t="inlineStr">
        <is>
          <t>NÄSSJÖ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46295</v>
      </c>
      <c r="F561" t="inlineStr">
        <is>
          <t>JÖNKÖPINGS LÄN</t>
        </is>
      </c>
      <c r="G561" t="inlineStr">
        <is>
          <t>NÄSSJÖ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45108</v>
      </c>
      <c r="E562" s="1" t="n">
        <v>46295</v>
      </c>
      <c r="F562" t="inlineStr">
        <is>
          <t>JÖNKÖPINGS LÄN</t>
        </is>
      </c>
      <c r="G562" t="inlineStr">
        <is>
          <t>NÄSSJÖ</t>
        </is>
      </c>
      <c r="I562" t="n">
        <v>37.6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46295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1040-2022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44613</v>
      </c>
      <c r="E564" s="1" t="n">
        <v>46295</v>
      </c>
      <c r="F564" t="inlineStr">
        <is>
          <t>JÖNKÖPINGS LÄN</t>
        </is>
      </c>
      <c r="G564" t="inlineStr">
        <is>
          <t>NÄSSJÖ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44575</v>
      </c>
      <c r="E565" s="1" t="n">
        <v>46295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46295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46295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46295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46295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46295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46295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46295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46295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7883-2021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44482</v>
      </c>
      <c r="E574" s="1" t="n">
        <v>46295</v>
      </c>
      <c r="F574" t="inlineStr">
        <is>
          <t>JÖNKÖPINGS LÄN</t>
        </is>
      </c>
      <c r="G574" t="inlineStr">
        <is>
          <t>NÄSSJÖ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46295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46295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46295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46295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1666-2023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45062</v>
      </c>
      <c r="E579" s="1" t="n">
        <v>46295</v>
      </c>
      <c r="F579" t="inlineStr">
        <is>
          <t>JÖNKÖPINGS LÄN</t>
        </is>
      </c>
      <c r="G579" t="inlineStr">
        <is>
          <t>NÄSSJÖ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1408-2023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46295</v>
      </c>
      <c r="F580" t="inlineStr">
        <is>
          <t>JÖNKÖPINGS LÄN</t>
        </is>
      </c>
      <c r="G580" t="inlineStr">
        <is>
          <t>NÄSSJÖ</t>
        </is>
      </c>
      <c r="H580" t="inlineStr">
        <is>
          <t>Kommuner</t>
        </is>
      </c>
      <c r="I580" t="n">
        <v>65.2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1731-2025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45809</v>
      </c>
      <c r="E581" s="1" t="n">
        <v>46295</v>
      </c>
      <c r="F581" t="inlineStr">
        <is>
          <t>JÖNKÖPINGS LÄN</t>
        </is>
      </c>
      <c r="G581" t="inlineStr">
        <is>
          <t>NÄSSJÖ</t>
        </is>
      </c>
      <c r="I581" t="n">
        <v>27.6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1699-2025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45804</v>
      </c>
      <c r="E582" s="1" t="n">
        <v>46295</v>
      </c>
      <c r="F582" t="inlineStr">
        <is>
          <t>JÖNKÖPINGS LÄN</t>
        </is>
      </c>
      <c r="G582" t="inlineStr">
        <is>
          <t>NÄSSJÖ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45835</v>
      </c>
      <c r="E583" s="1" t="n">
        <v>46295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688-2026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46295</v>
      </c>
      <c r="F584" t="inlineStr">
        <is>
          <t>JÖNKÖPINGS LÄN</t>
        </is>
      </c>
      <c r="G584" t="inlineStr">
        <is>
          <t>NÄSSJÖ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46295</v>
      </c>
      <c r="F585" t="inlineStr">
        <is>
          <t>JÖNKÖPINGS LÄN</t>
        </is>
      </c>
      <c r="G585" t="inlineStr">
        <is>
          <t>NÄSSJÖ</t>
        </is>
      </c>
      <c r="I585" t="n">
        <v>33.2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1942-2026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46209</v>
      </c>
      <c r="E586" s="1" t="n">
        <v>46295</v>
      </c>
      <c r="F586" t="inlineStr">
        <is>
          <t>JÖNKÖPINGS LÄN</t>
        </is>
      </c>
      <c r="G586" t="inlineStr">
        <is>
          <t>NÄSSJÖ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1332-2026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46150</v>
      </c>
      <c r="E587" s="1" t="n">
        <v>46295</v>
      </c>
      <c r="F587" t="inlineStr">
        <is>
          <t>JÖNKÖPINGS LÄN</t>
        </is>
      </c>
      <c r="G587" t="inlineStr">
        <is>
          <t>NÄSSJÖ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2026-09-30T02:01:41Z</dcterms:created>
  <dcterms:modified xmlns:dcterms="http://purl.org/dc/terms/" xmlns:xsi="http://www.w3.org/2001/XMLSchema-instance" xsi:type="dcterms:W3CDTF">2026-09-30T02:01:42Z</dcterms:modified>
</cp:coreProperties>
</file>