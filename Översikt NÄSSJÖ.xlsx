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46320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46320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46320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46320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46320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46320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46320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46320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46320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24531-2024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46320</v>
      </c>
      <c r="F11" t="inlineStr">
        <is>
          <t>JÖNKÖPINGS LÄN</t>
        </is>
      </c>
      <c r="G11" t="inlineStr">
        <is>
          <t>NÄSSJÖ</t>
        </is>
      </c>
      <c r="I11" t="n">
        <v>2.2</v>
      </c>
      <c r="J11" t="n">
        <v>0</v>
      </c>
      <c r="K11" t="n">
        <v>3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1</v>
      </c>
      <c r="V11" s="2" t="inlineStr">
        <is>
          <t>Vridfingersvamp
Papegojvaxing
Småvaxing
Toppvaxing</t>
        </is>
      </c>
      <c r="W11">
        <f>HYPERLINK("https://klasma.github.io/Logging_0682/artfynd/A 24531-2024 artfynd.xlsx", "A 24531-2024")</f>
        <v/>
      </c>
      <c r="X11">
        <f>HYPERLINK("https://klasma.github.io/Logging_0682/kartor/A 24531-2024 karta.png", "A 24531-2024")</f>
        <v/>
      </c>
      <c r="Y11">
        <f>HYPERLINK("https://klasma.github.io/Logging_0682/kartor_geotiff/A 24531-2024 georefererad karta.tif", "A 24531-2024")</f>
        <v/>
      </c>
      <c r="AA11">
        <f>HYPERLINK("https://klasma.github.io/Logging_0682/klagomål/A 24531-2024 FSC-klagomål.docx", "A 24531-2024")</f>
        <v/>
      </c>
      <c r="AB11">
        <f>HYPERLINK("https://klasma.github.io/Logging_0682/klagomålsmail/A 24531-2024 FSC-klagomål mail.docx", "A 24531-2024")</f>
        <v/>
      </c>
      <c r="AC11">
        <f>HYPERLINK("https://klasma.github.io/Logging_0682/tillsyn/A 24531-2024 tillsynsbegäran.docx", "A 24531-2024")</f>
        <v/>
      </c>
      <c r="AD11">
        <f>HYPERLINK("https://klasma.github.io/Logging_0682/tillsynsmail/A 24531-2024 tillsynsbegäran mail.docx", "A 24531-2024")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46320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46320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46320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46320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46320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46320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46320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46320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46320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46320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46320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46320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46320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46320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50120-2025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45943</v>
      </c>
      <c r="E26" s="1" t="n">
        <v>46320</v>
      </c>
      <c r="F26" t="inlineStr">
        <is>
          <t>JÖNKÖPINGS LÄN</t>
        </is>
      </c>
      <c r="G26" t="inlineStr">
        <is>
          <t>NÄSSJÖ</t>
        </is>
      </c>
      <c r="I26" t="n">
        <v>0.9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HYPERLINK("https://klasma.github.io/Logging_0682/artfynd/A 50120-2025 artfynd.xlsx", "A 50120-2025")</f>
        <v/>
      </c>
      <c r="X26">
        <f>HYPERLINK("https://klasma.github.io/Logging_0682/kartor/A 50120-2025 karta.png", "A 50120-2025")</f>
        <v/>
      </c>
      <c r="Y26">
        <f>HYPERLINK("https://klasma.github.io/Logging_0682/kartor_geotiff/A 50120-2025 georefererad karta.tif", "A 50120-2025")</f>
        <v/>
      </c>
      <c r="AA26">
        <f>HYPERLINK("https://klasma.github.io/Logging_0682/klagomål/A 50120-2025 FSC-klagomål.docx", "A 50120-2025")</f>
        <v/>
      </c>
      <c r="AB26">
        <f>HYPERLINK("https://klasma.github.io/Logging_0682/klagomålsmail/A 50120-2025 FSC-klagomål mail.docx", "A 50120-2025")</f>
        <v/>
      </c>
      <c r="AC26">
        <f>HYPERLINK("https://klasma.github.io/Logging_0682/tillsyn/A 50120-2025 tillsynsbegäran.docx", "A 50120-2025")</f>
        <v/>
      </c>
      <c r="AD26">
        <f>HYPERLINK("https://klasma.github.io/Logging_0682/tillsynsmail/A 50120-2025 tillsynsbegäran mail.docx", "A 50120-2025")</f>
        <v/>
      </c>
    </row>
    <row r="27" ht="15" customHeight="1">
      <c r="A27" t="inlineStr">
        <is>
          <t>A 52937-2024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45610</v>
      </c>
      <c r="E27" s="1" t="n">
        <v>46320</v>
      </c>
      <c r="F27" t="inlineStr">
        <is>
          <t>JÖNKÖPINGS LÄN</t>
        </is>
      </c>
      <c r="G27" t="inlineStr">
        <is>
          <t>NÄSSJÖ</t>
        </is>
      </c>
      <c r="I27" t="n">
        <v>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HYPERLINK("https://klasma.github.io/Logging_0682/artfynd/A 52937-2024 artfynd.xlsx", "A 52937-2024")</f>
        <v/>
      </c>
      <c r="X27">
        <f>HYPERLINK("https://klasma.github.io/Logging_0682/kartor/A 52937-2024 karta.png", "A 52937-2024")</f>
        <v/>
      </c>
      <c r="Y27">
        <f>HYPERLINK("https://klasma.github.io/Logging_0682/kartor_geotiff/A 52937-2024 georefererad karta.tif", "A 52937-2024")</f>
        <v/>
      </c>
      <c r="AA27">
        <f>HYPERLINK("https://klasma.github.io/Logging_0682/klagomål/A 52937-2024 FSC-klagomål.docx", "A 52937-2024")</f>
        <v/>
      </c>
      <c r="AB27">
        <f>HYPERLINK("https://klasma.github.io/Logging_0682/klagomålsmail/A 52937-2024 FSC-klagomål mail.docx", "A 52937-2024")</f>
        <v/>
      </c>
      <c r="AC27">
        <f>HYPERLINK("https://klasma.github.io/Logging_0682/tillsyn/A 52937-2024 tillsynsbegäran.docx", "A 52937-2024")</f>
        <v/>
      </c>
      <c r="AD27">
        <f>HYPERLINK("https://klasma.github.io/Logging_0682/tillsynsmail/A 52937-2024 tillsynsbegäran mail.docx", "A 52937-2024")</f>
        <v/>
      </c>
      <c r="AE27">
        <f>HYPERLINK("https://klasma.github.io/Logging_0682/fåglar/A 52937-2024 prioriterade fågelarter.docx", "A 52937-2024")</f>
        <v/>
      </c>
    </row>
    <row r="28" ht="15" customHeight="1">
      <c r="A28" t="inlineStr">
        <is>
          <t>A 63989-2025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46021</v>
      </c>
      <c r="E28" s="1" t="n">
        <v>46320</v>
      </c>
      <c r="F28" t="inlineStr">
        <is>
          <t>JÖNKÖPINGS LÄN</t>
        </is>
      </c>
      <c r="G28" t="inlineStr">
        <is>
          <t>NÄSSJÖ</t>
        </is>
      </c>
      <c r="I28" t="n">
        <v>2.7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Fältgentiana</t>
        </is>
      </c>
      <c r="W28">
        <f>HYPERLINK("https://klasma.github.io/Logging_0682/artfynd/A 63989-2025 artfynd.xlsx", "A 63989-2025")</f>
        <v/>
      </c>
      <c r="X28">
        <f>HYPERLINK("https://klasma.github.io/Logging_0682/kartor/A 63989-2025 karta.png", "A 63989-2025")</f>
        <v/>
      </c>
      <c r="Y28">
        <f>HYPERLINK("https://klasma.github.io/Logging_0682/kartor_geotiff/A 63989-2025 georefererad karta.tif", "A 63989-2025")</f>
        <v/>
      </c>
      <c r="AA28">
        <f>HYPERLINK("https://klasma.github.io/Logging_0682/klagomål/A 63989-2025 FSC-klagomål.docx", "A 63989-2025")</f>
        <v/>
      </c>
      <c r="AB28">
        <f>HYPERLINK("https://klasma.github.io/Logging_0682/klagomålsmail/A 63989-2025 FSC-klagomål mail.docx", "A 63989-2025")</f>
        <v/>
      </c>
      <c r="AC28">
        <f>HYPERLINK("https://klasma.github.io/Logging_0682/tillsyn/A 63989-2025 tillsynsbegäran.docx", "A 63989-2025")</f>
        <v/>
      </c>
      <c r="AD28">
        <f>HYPERLINK("https://klasma.github.io/Logging_0682/tillsynsmail/A 63989-2025 tillsynsbegäran mail.docx", "A 63989-2025")</f>
        <v/>
      </c>
    </row>
    <row r="29" ht="15" customHeight="1">
      <c r="A29" t="inlineStr">
        <is>
          <t>A 38567-2026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46320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38567-2026 artfynd.xlsx", "A 38567-2026")</f>
        <v/>
      </c>
      <c r="X29">
        <f>HYPERLINK("https://klasma.github.io/Logging_0682/kartor/A 38567-2026 karta.png", "A 38567-2026")</f>
        <v/>
      </c>
      <c r="Y29">
        <f>HYPERLINK("https://klasma.github.io/Logging_0682/kartor_geotiff/A 38567-2026 georefererad karta.tif", "A 38567-2026")</f>
        <v/>
      </c>
      <c r="AA29">
        <f>HYPERLINK("https://klasma.github.io/Logging_0682/klagomål/A 38567-2026 FSC-klagomål.docx", "A 38567-2026")</f>
        <v/>
      </c>
      <c r="AB29">
        <f>HYPERLINK("https://klasma.github.io/Logging_0682/klagomålsmail/A 38567-2026 FSC-klagomål mail.docx", "A 38567-2026")</f>
        <v/>
      </c>
      <c r="AC29">
        <f>HYPERLINK("https://klasma.github.io/Logging_0682/tillsyn/A 38567-2026 tillsynsbegäran.docx", "A 38567-2026")</f>
        <v/>
      </c>
      <c r="AD29">
        <f>HYPERLINK("https://klasma.github.io/Logging_0682/tillsynsmail/A 38567-2026 tillsynsbegäran mail.docx", "A 38567-2026")</f>
        <v/>
      </c>
    </row>
    <row r="30" ht="15" customHeight="1">
      <c r="A30" t="inlineStr">
        <is>
          <t>A 17948-2024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45419</v>
      </c>
      <c r="E30" s="1" t="n">
        <v>46320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HYPERLINK("https://klasma.github.io/Logging_0682/artfynd/A 17948-2024 artfynd.xlsx", "A 17948-2024")</f>
        <v/>
      </c>
      <c r="X30">
        <f>HYPERLINK("https://klasma.github.io/Logging_0682/kartor/A 17948-2024 karta.png", "A 17948-2024")</f>
        <v/>
      </c>
      <c r="Y30">
        <f>HYPERLINK("https://klasma.github.io/Logging_0682/kartor_geotiff/A 17948-2024 georefererad karta.tif", "A 17948-2024")</f>
        <v/>
      </c>
      <c r="AA30">
        <f>HYPERLINK("https://klasma.github.io/Logging_0682/klagomål/A 17948-2024 FSC-klagomål.docx", "A 17948-2024")</f>
        <v/>
      </c>
      <c r="AB30">
        <f>HYPERLINK("https://klasma.github.io/Logging_0682/klagomålsmail/A 17948-2024 FSC-klagomål mail.docx", "A 17948-2024")</f>
        <v/>
      </c>
      <c r="AC30">
        <f>HYPERLINK("https://klasma.github.io/Logging_0682/tillsyn/A 17948-2024 tillsynsbegäran.docx", "A 17948-2024")</f>
        <v/>
      </c>
      <c r="AD30">
        <f>HYPERLINK("https://klasma.github.io/Logging_0682/tillsynsmail/A 17948-2024 tillsynsbegäran mail.docx", "A 17948-2024")</f>
        <v/>
      </c>
    </row>
    <row r="31" ht="15" customHeight="1">
      <c r="A31" t="inlineStr">
        <is>
          <t>A 4720-2026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46320</v>
      </c>
      <c r="F31" t="inlineStr">
        <is>
          <t>JÖNKÖPINGS LÄN</t>
        </is>
      </c>
      <c r="G31" t="inlineStr">
        <is>
          <t>NÄSSJÖ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HYPERLINK("https://klasma.github.io/Logging_0682/artfynd/A 4720-2026 artfynd.xlsx", "A 4720-2026")</f>
        <v/>
      </c>
      <c r="X31">
        <f>HYPERLINK("https://klasma.github.io/Logging_0682/kartor/A 4720-2026 karta.png", "A 4720-2026")</f>
        <v/>
      </c>
      <c r="Y31">
        <f>HYPERLINK("https://klasma.github.io/Logging_0682/kartor_geotiff/A 4720-2026 georefererad karta.tif", "A 4720-2026")</f>
        <v/>
      </c>
      <c r="AA31">
        <f>HYPERLINK("https://klasma.github.io/Logging_0682/klagomål/A 4720-2026 FSC-klagomål.docx", "A 4720-2026")</f>
        <v/>
      </c>
      <c r="AB31">
        <f>HYPERLINK("https://klasma.github.io/Logging_0682/klagomålsmail/A 4720-2026 FSC-klagomål mail.docx", "A 4720-2026")</f>
        <v/>
      </c>
      <c r="AC31">
        <f>HYPERLINK("https://klasma.github.io/Logging_0682/tillsyn/A 4720-2026 tillsynsbegäran.docx", "A 4720-2026")</f>
        <v/>
      </c>
      <c r="AD31">
        <f>HYPERLINK("https://klasma.github.io/Logging_0682/tillsynsmail/A 4720-2026 tillsynsbegäran mail.docx", "A 4720-2026")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46320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33373-2025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46320</v>
      </c>
      <c r="F33" t="inlineStr">
        <is>
          <t>JÖNKÖPINGS LÄN</t>
        </is>
      </c>
      <c r="G33" t="inlineStr">
        <is>
          <t>NÄSSJÖ</t>
        </is>
      </c>
      <c r="I33" t="n">
        <v>0.4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Ögonpyrola</t>
        </is>
      </c>
      <c r="W33">
        <f>HYPERLINK("https://klasma.github.io/Logging_0682/artfynd/A 33373-2025 artfynd.xlsx", "A 33373-2025")</f>
        <v/>
      </c>
      <c r="X33">
        <f>HYPERLINK("https://klasma.github.io/Logging_0682/kartor/A 33373-2025 karta.png", "A 33373-2025")</f>
        <v/>
      </c>
      <c r="Y33">
        <f>HYPERLINK("https://klasma.github.io/Logging_0682/kartor_geotiff/A 33373-2025 georefererad karta.tif", "A 33373-2025")</f>
        <v/>
      </c>
      <c r="AA33">
        <f>HYPERLINK("https://klasma.github.io/Logging_0682/klagomål/A 33373-2025 FSC-klagomål.docx", "A 33373-2025")</f>
        <v/>
      </c>
      <c r="AB33">
        <f>HYPERLINK("https://klasma.github.io/Logging_0682/klagomålsmail/A 33373-2025 FSC-klagomål mail.docx", "A 33373-2025")</f>
        <v/>
      </c>
      <c r="AC33">
        <f>HYPERLINK("https://klasma.github.io/Logging_0682/tillsyn/A 33373-2025 tillsynsbegäran.docx", "A 33373-2025")</f>
        <v/>
      </c>
      <c r="AD33">
        <f>HYPERLINK("https://klasma.github.io/Logging_0682/tillsynsmail/A 33373-2025 tillsynsbegäran mail.docx", "A 33373-2025")</f>
        <v/>
      </c>
    </row>
    <row r="34" ht="15" customHeight="1">
      <c r="A34" t="inlineStr">
        <is>
          <t>A 33414-2025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46320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Rhithrogena germanica</t>
        </is>
      </c>
      <c r="W34">
        <f>HYPERLINK("https://klasma.github.io/Logging_0682/artfynd/A 33414-2025 artfynd.xlsx", "A 33414-2025")</f>
        <v/>
      </c>
      <c r="X34">
        <f>HYPERLINK("https://klasma.github.io/Logging_0682/kartor/A 33414-2025 karta.png", "A 33414-2025")</f>
        <v/>
      </c>
      <c r="Y34">
        <f>HYPERLINK("https://klasma.github.io/Logging_0682/kartor_geotiff/A 33414-2025 georefererad karta.tif", "A 33414-2025")</f>
        <v/>
      </c>
      <c r="AA34">
        <f>HYPERLINK("https://klasma.github.io/Logging_0682/klagomål/A 33414-2025 FSC-klagomål.docx", "A 33414-2025")</f>
        <v/>
      </c>
      <c r="AB34">
        <f>HYPERLINK("https://klasma.github.io/Logging_0682/klagomålsmail/A 33414-2025 FSC-klagomål mail.docx", "A 33414-2025")</f>
        <v/>
      </c>
      <c r="AC34">
        <f>HYPERLINK("https://klasma.github.io/Logging_0682/tillsyn/A 33414-2025 tillsynsbegäran.docx", "A 33414-2025")</f>
        <v/>
      </c>
      <c r="AD34">
        <f>HYPERLINK("https://klasma.github.io/Logging_0682/tillsynsmail/A 33414-2025 tillsynsbegäran mail.docx", "A 33414-2025")</f>
        <v/>
      </c>
    </row>
    <row r="35" ht="15" customHeight="1">
      <c r="A35" t="inlineStr">
        <is>
          <t>A 15048-2026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46320</v>
      </c>
      <c r="F35" t="inlineStr">
        <is>
          <t>JÖNKÖPINGS LÄN</t>
        </is>
      </c>
      <c r="G35" t="inlineStr">
        <is>
          <t>NÄSSJÖ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15048-2026 artfynd.xlsx", "A 15048-2026")</f>
        <v/>
      </c>
      <c r="X35">
        <f>HYPERLINK("https://klasma.github.io/Logging_0682/kartor/A 15048-2026 karta.png", "A 15048-2026")</f>
        <v/>
      </c>
      <c r="Y35">
        <f>HYPERLINK("https://klasma.github.io/Logging_0682/kartor_geotiff/A 15048-2026 georefererad karta.tif", "A 15048-2026")</f>
        <v/>
      </c>
      <c r="AA35">
        <f>HYPERLINK("https://klasma.github.io/Logging_0682/klagomål/A 15048-2026 FSC-klagomål.docx", "A 15048-2026")</f>
        <v/>
      </c>
      <c r="AB35">
        <f>HYPERLINK("https://klasma.github.io/Logging_0682/klagomålsmail/A 15048-2026 FSC-klagomål mail.docx", "A 15048-2026")</f>
        <v/>
      </c>
      <c r="AC35">
        <f>HYPERLINK("https://klasma.github.io/Logging_0682/tillsyn/A 15048-2026 tillsynsbegäran.docx", "A 15048-2026")</f>
        <v/>
      </c>
      <c r="AD35">
        <f>HYPERLINK("https://klasma.github.io/Logging_0682/tillsynsmail/A 15048-2026 tillsynsbegäran mail.docx", "A 15048-2026")</f>
        <v/>
      </c>
    </row>
    <row r="36" ht="15" customHeight="1">
      <c r="A36" t="inlineStr">
        <is>
          <t>A 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46320</v>
      </c>
      <c r="F36" t="inlineStr">
        <is>
          <t>JÖNKÖPINGS LÄN</t>
        </is>
      </c>
      <c r="G36" t="inlineStr">
        <is>
          <t>NÄSSJÖ</t>
        </is>
      </c>
      <c r="I36" t="n">
        <v>7.7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HYPERLINK("https://klasma.github.io/Logging_0682/artfynd/A 254-2023 artfynd.xlsx", "A 254-2023")</f>
        <v/>
      </c>
      <c r="X36">
        <f>HYPERLINK("https://klasma.github.io/Logging_0682/kartor/A 254-2023 karta.png", "A 254-2023")</f>
        <v/>
      </c>
      <c r="Y36">
        <f>HYPERLINK("https://klasma.github.io/Logging_0682/kartor_geotiff/A 254-2023 georefererad karta.tif", "A 254-2023")</f>
        <v/>
      </c>
      <c r="AA36">
        <f>HYPERLINK("https://klasma.github.io/Logging_0682/klagomål/A 254-2023 FSC-klagomål.docx", "A 254-2023")</f>
        <v/>
      </c>
      <c r="AB36">
        <f>HYPERLINK("https://klasma.github.io/Logging_0682/klagomålsmail/A 254-2023 FSC-klagomål mail.docx", "A 254-2023")</f>
        <v/>
      </c>
      <c r="AC36">
        <f>HYPERLINK("https://klasma.github.io/Logging_0682/tillsyn/A 254-2023 tillsynsbegäran.docx", "A 254-2023")</f>
        <v/>
      </c>
      <c r="AD36">
        <f>HYPERLINK("https://klasma.github.io/Logging_0682/tillsynsmail/A 254-2023 tillsynsbegäran mail.docx", "A 254-2023")</f>
        <v/>
      </c>
      <c r="AE36">
        <f>HYPERLINK("https://klasma.github.io/Logging_0682/fåglar/A 254-2023 prioriterade fågelarter.docx", "A 254-2023")</f>
        <v/>
      </c>
    </row>
    <row r="37" ht="15" customHeight="1">
      <c r="A37" t="inlineStr">
        <is>
          <t>A 15845-2026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46320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HYPERLINK("https://klasma.github.io/Logging_0682/artfynd/A 15845-2026 artfynd.xlsx", "A 15845-2026")</f>
        <v/>
      </c>
      <c r="X37">
        <f>HYPERLINK("https://klasma.github.io/Logging_0682/kartor/A 15845-2026 karta.png", "A 15845-2026")</f>
        <v/>
      </c>
      <c r="Y37">
        <f>HYPERLINK("https://klasma.github.io/Logging_0682/kartor_geotiff/A 15845-2026 georefererad karta.tif", "A 15845-2026")</f>
        <v/>
      </c>
      <c r="AA37">
        <f>HYPERLINK("https://klasma.github.io/Logging_0682/klagomål/A 15845-2026 FSC-klagomål.docx", "A 15845-2026")</f>
        <v/>
      </c>
      <c r="AB37">
        <f>HYPERLINK("https://klasma.github.io/Logging_0682/klagomålsmail/A 15845-2026 FSC-klagomål mail.docx", "A 15845-2026")</f>
        <v/>
      </c>
      <c r="AC37">
        <f>HYPERLINK("https://klasma.github.io/Logging_0682/tillsyn/A 15845-2026 tillsynsbegäran.docx", "A 15845-2026")</f>
        <v/>
      </c>
      <c r="AD37">
        <f>HYPERLINK("https://klasma.github.io/Logging_0682/tillsynsmail/A 15845-2026 tillsynsbegäran mail.docx", "A 15845-2026")</f>
        <v/>
      </c>
      <c r="AE37">
        <f>HYPERLINK("https://klasma.github.io/Logging_0682/fåglar/A 15845-2026 prioriterade fågelarter.docx", "A 15845-2026")</f>
        <v/>
      </c>
    </row>
    <row r="38" ht="15" customHeight="1">
      <c r="A38" t="inlineStr">
        <is>
          <t>A 34798-2026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46258</v>
      </c>
      <c r="E38" s="1" t="n">
        <v>46320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Kornig nållav</t>
        </is>
      </c>
      <c r="W38">
        <f>HYPERLINK("https://klasma.github.io/Logging_0682/artfynd/A 34798-2026 artfynd.xlsx", "A 34798-2026")</f>
        <v/>
      </c>
      <c r="X38">
        <f>HYPERLINK("https://klasma.github.io/Logging_0682/kartor/A 34798-2026 karta.png", "A 34798-2026")</f>
        <v/>
      </c>
      <c r="Y38">
        <f>HYPERLINK("https://klasma.github.io/Logging_0682/kartor_geotiff/A 34798-2026 georefererad karta.tif", "A 34798-2026")</f>
        <v/>
      </c>
      <c r="AA38">
        <f>HYPERLINK("https://klasma.github.io/Logging_0682/klagomål/A 34798-2026 FSC-klagomål.docx", "A 34798-2026")</f>
        <v/>
      </c>
      <c r="AB38">
        <f>HYPERLINK("https://klasma.github.io/Logging_0682/klagomålsmail/A 34798-2026 FSC-klagomål mail.docx", "A 34798-2026")</f>
        <v/>
      </c>
      <c r="AC38">
        <f>HYPERLINK("https://klasma.github.io/Logging_0682/tillsyn/A 34798-2026 tillsynsbegäran.docx", "A 34798-2026")</f>
        <v/>
      </c>
      <c r="AD38">
        <f>HYPERLINK("https://klasma.github.io/Logging_0682/tillsynsmail/A 34798-2026 tillsynsbegäran mail.docx", "A 34798-2026")</f>
        <v/>
      </c>
    </row>
    <row r="39" ht="15" customHeight="1">
      <c r="A39" t="inlineStr">
        <is>
          <t>A 46451-2022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46320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Sälg</t>
        </is>
      </c>
      <c r="W39">
        <f>HYPERLINK("https://klasma.github.io/Logging_0682/artfynd/A 46451-2022 artfynd.xlsx", "A 46451-2022")</f>
        <v/>
      </c>
      <c r="X39">
        <f>HYPERLINK("https://klasma.github.io/Logging_0682/kartor/A 46451-2022 karta.png", "A 46451-2022")</f>
        <v/>
      </c>
      <c r="Y39">
        <f>HYPERLINK("https://klasma.github.io/Logging_0682/kartor_geotiff/A 46451-2022 georefererad karta.tif", "A 46451-2022")</f>
        <v/>
      </c>
      <c r="AA39">
        <f>HYPERLINK("https://klasma.github.io/Logging_0682/klagomål/A 46451-2022 FSC-klagomål.docx", "A 46451-2022")</f>
        <v/>
      </c>
      <c r="AB39">
        <f>HYPERLINK("https://klasma.github.io/Logging_0682/klagomålsmail/A 46451-2022 FSC-klagomål mail.docx", "A 46451-2022")</f>
        <v/>
      </c>
      <c r="AC39">
        <f>HYPERLINK("https://klasma.github.io/Logging_0682/tillsyn/A 46451-2022 tillsynsbegäran.docx", "A 46451-2022")</f>
        <v/>
      </c>
      <c r="AD39">
        <f>HYPERLINK("https://klasma.github.io/Logging_0682/tillsynsmail/A 46451-2022 tillsynsbegäran mail.docx", "A 46451-2022")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46320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33372-2025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46320</v>
      </c>
      <c r="F41" t="inlineStr">
        <is>
          <t>JÖNKÖPINGS LÄN</t>
        </is>
      </c>
      <c r="G41" t="inlineStr">
        <is>
          <t>NÄSSJÖ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HYPERLINK("https://klasma.github.io/Logging_0682/artfynd/A 33372-2025 artfynd.xlsx", "A 33372-2025")</f>
        <v/>
      </c>
      <c r="X41">
        <f>HYPERLINK("https://klasma.github.io/Logging_0682/kartor/A 33372-2025 karta.png", "A 33372-2025")</f>
        <v/>
      </c>
      <c r="Y41">
        <f>HYPERLINK("https://klasma.github.io/Logging_0682/kartor_geotiff/A 33372-2025 georefererad karta.tif", "A 33372-2025")</f>
        <v/>
      </c>
      <c r="AA41">
        <f>HYPERLINK("https://klasma.github.io/Logging_0682/klagomål/A 33372-2025 FSC-klagomål.docx", "A 33372-2025")</f>
        <v/>
      </c>
      <c r="AB41">
        <f>HYPERLINK("https://klasma.github.io/Logging_0682/klagomålsmail/A 33372-2025 FSC-klagomål mail.docx", "A 33372-2025")</f>
        <v/>
      </c>
      <c r="AC41">
        <f>HYPERLINK("https://klasma.github.io/Logging_0682/tillsyn/A 33372-2025 tillsynsbegäran.docx", "A 33372-2025")</f>
        <v/>
      </c>
      <c r="AD41">
        <f>HYPERLINK("https://klasma.github.io/Logging_0682/tillsynsmail/A 33372-2025 tillsynsbegäran mail.docx", "A 33372-2025")</f>
        <v/>
      </c>
    </row>
    <row r="42" ht="15" customHeight="1">
      <c r="A42" t="inlineStr">
        <is>
          <t>A 34909-2024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46320</v>
      </c>
      <c r="F42" t="inlineStr">
        <is>
          <t>JÖNKÖPINGS LÄN</t>
        </is>
      </c>
      <c r="G42" t="inlineStr">
        <is>
          <t>NÄSSJÖ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Ask</t>
        </is>
      </c>
      <c r="W42">
        <f>HYPERLINK("https://klasma.github.io/Logging_0682/artfynd/A 34909-2024 artfynd.xlsx", "A 34909-2024")</f>
        <v/>
      </c>
      <c r="X42">
        <f>HYPERLINK("https://klasma.github.io/Logging_0682/kartor/A 34909-2024 karta.png", "A 34909-2024")</f>
        <v/>
      </c>
      <c r="Y42">
        <f>HYPERLINK("https://klasma.github.io/Logging_0682/kartor_geotiff/A 34909-2024 georefererad karta.tif", "A 34909-2024")</f>
        <v/>
      </c>
      <c r="AA42">
        <f>HYPERLINK("https://klasma.github.io/Logging_0682/klagomål/A 34909-2024 FSC-klagomål.docx", "A 34909-2024")</f>
        <v/>
      </c>
      <c r="AB42">
        <f>HYPERLINK("https://klasma.github.io/Logging_0682/klagomålsmail/A 34909-2024 FSC-klagomål mail.docx", "A 34909-2024")</f>
        <v/>
      </c>
      <c r="AC42">
        <f>HYPERLINK("https://klasma.github.io/Logging_0682/tillsyn/A 34909-2024 tillsynsbegäran.docx", "A 34909-2024")</f>
        <v/>
      </c>
      <c r="AD42">
        <f>HYPERLINK("https://klasma.github.io/Logging_0682/tillsynsmail/A 34909-2024 tillsynsbegäran mail.docx", "A 34909-2024")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46320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60892-2024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46320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60892-2024 artfynd.xlsx", "A 60892-2024")</f>
        <v/>
      </c>
      <c r="X44">
        <f>HYPERLINK("https://klasma.github.io/Logging_0682/kartor/A 60892-2024 karta.png", "A 60892-2024")</f>
        <v/>
      </c>
      <c r="Y44">
        <f>HYPERLINK("https://klasma.github.io/Logging_0682/kartor_geotiff/A 60892-2024 georefererad karta.tif", "A 60892-2024")</f>
        <v/>
      </c>
      <c r="AA44">
        <f>HYPERLINK("https://klasma.github.io/Logging_0682/klagomål/A 60892-2024 FSC-klagomål.docx", "A 60892-2024")</f>
        <v/>
      </c>
      <c r="AB44">
        <f>HYPERLINK("https://klasma.github.io/Logging_0682/klagomålsmail/A 60892-2024 FSC-klagomål mail.docx", "A 60892-2024")</f>
        <v/>
      </c>
      <c r="AC44">
        <f>HYPERLINK("https://klasma.github.io/Logging_0682/tillsyn/A 60892-2024 tillsynsbegäran.docx", "A 60892-2024")</f>
        <v/>
      </c>
      <c r="AD44">
        <f>HYPERLINK("https://klasma.github.io/Logging_0682/tillsynsmail/A 60892-2024 tillsynsbegäran mail.docx", "A 60892-2024")</f>
        <v/>
      </c>
    </row>
    <row r="45" ht="15" customHeight="1">
      <c r="A45" t="inlineStr">
        <is>
          <t>A 35328-2024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45530</v>
      </c>
      <c r="E45" s="1" t="n">
        <v>46320</v>
      </c>
      <c r="F45" t="inlineStr">
        <is>
          <t>JÖNKÖPINGS LÄN</t>
        </is>
      </c>
      <c r="G45" t="inlineStr">
        <is>
          <t>NÄSSJÖ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Kungsfågel</t>
        </is>
      </c>
      <c r="W45">
        <f>HYPERLINK("https://klasma.github.io/Logging_0682/artfynd/A 35328-2024 artfynd.xlsx", "A 35328-2024")</f>
        <v/>
      </c>
      <c r="X45">
        <f>HYPERLINK("https://klasma.github.io/Logging_0682/kartor/A 35328-2024 karta.png", "A 35328-2024")</f>
        <v/>
      </c>
      <c r="Y45">
        <f>HYPERLINK("https://klasma.github.io/Logging_0682/kartor_geotiff/A 35328-2024 georefererad karta.tif", "A 35328-2024")</f>
        <v/>
      </c>
      <c r="AA45">
        <f>HYPERLINK("https://klasma.github.io/Logging_0682/klagomål/A 35328-2024 FSC-klagomål.docx", "A 35328-2024")</f>
        <v/>
      </c>
      <c r="AB45">
        <f>HYPERLINK("https://klasma.github.io/Logging_0682/klagomålsmail/A 35328-2024 FSC-klagomål mail.docx", "A 35328-2024")</f>
        <v/>
      </c>
      <c r="AC45">
        <f>HYPERLINK("https://klasma.github.io/Logging_0682/tillsyn/A 35328-2024 tillsynsbegäran.docx", "A 35328-2024")</f>
        <v/>
      </c>
      <c r="AD45">
        <f>HYPERLINK("https://klasma.github.io/Logging_0682/tillsynsmail/A 35328-2024 tillsynsbegäran mail.docx", "A 35328-2024")</f>
        <v/>
      </c>
    </row>
    <row r="46" ht="15" customHeight="1">
      <c r="A46" t="inlineStr">
        <is>
          <t>A 27215-2023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46320</v>
      </c>
      <c r="F46" t="inlineStr">
        <is>
          <t>JÖNKÖPINGS LÄN</t>
        </is>
      </c>
      <c r="G46" t="inlineStr">
        <is>
          <t>NÄSSJÖ</t>
        </is>
      </c>
      <c r="I46" t="n">
        <v>13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HYPERLINK("https://klasma.github.io/Logging_0682/artfynd/A 27215-2023 artfynd.xlsx", "A 27215-2023")</f>
        <v/>
      </c>
      <c r="X46">
        <f>HYPERLINK("https://klasma.github.io/Logging_0682/kartor/A 27215-2023 karta.png", "A 27215-2023")</f>
        <v/>
      </c>
      <c r="Y46">
        <f>HYPERLINK("https://klasma.github.io/Logging_0682/kartor_geotiff/A 27215-2023 georefererad karta.tif", "A 27215-2023")</f>
        <v/>
      </c>
      <c r="AA46">
        <f>HYPERLINK("https://klasma.github.io/Logging_0682/klagomål/A 27215-2023 FSC-klagomål.docx", "A 27215-2023")</f>
        <v/>
      </c>
      <c r="AB46">
        <f>HYPERLINK("https://klasma.github.io/Logging_0682/klagomålsmail/A 27215-2023 FSC-klagomål mail.docx", "A 27215-2023")</f>
        <v/>
      </c>
      <c r="AC46">
        <f>HYPERLINK("https://klasma.github.io/Logging_0682/tillsyn/A 27215-2023 tillsynsbegäran.docx", "A 27215-2023")</f>
        <v/>
      </c>
      <c r="AD46">
        <f>HYPERLINK("https://klasma.github.io/Logging_0682/tillsynsmail/A 27215-2023 tillsynsbegäran mail.docx", "A 27215-2023")</f>
        <v/>
      </c>
      <c r="AE46">
        <f>HYPERLINK("https://klasma.github.io/Logging_0682/fåglar/A 27215-2023 prioriterade fågelarter.docx", "A 27215-2023")</f>
        <v/>
      </c>
    </row>
    <row r="47" ht="15" customHeight="1">
      <c r="A47" t="inlineStr">
        <is>
          <t>A 3693-2022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46320</v>
      </c>
      <c r="F47" t="inlineStr">
        <is>
          <t>JÖNKÖPINGS LÄN</t>
        </is>
      </c>
      <c r="G47" t="inlineStr">
        <is>
          <t>NÄSSJÖ</t>
        </is>
      </c>
      <c r="I47" t="n">
        <v>2.9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HYPERLINK("https://klasma.github.io/Logging_0682/artfynd/A 3693-2022 artfynd.xlsx", "A 3693-2022")</f>
        <v/>
      </c>
      <c r="X47">
        <f>HYPERLINK("https://klasma.github.io/Logging_0682/kartor/A 3693-2022 karta.png", "A 3693-2022")</f>
        <v/>
      </c>
      <c r="Y47">
        <f>HYPERLINK("https://klasma.github.io/Logging_0682/kartor_geotiff/A 3693-2022 georefererad karta.tif", "A 3693-2022")</f>
        <v/>
      </c>
      <c r="AA47">
        <f>HYPERLINK("https://klasma.github.io/Logging_0682/klagomål/A 3693-2022 FSC-klagomål.docx", "A 3693-2022")</f>
        <v/>
      </c>
      <c r="AB47">
        <f>HYPERLINK("https://klasma.github.io/Logging_0682/klagomålsmail/A 3693-2022 FSC-klagomål mail.docx", "A 3693-2022")</f>
        <v/>
      </c>
      <c r="AC47">
        <f>HYPERLINK("https://klasma.github.io/Logging_0682/tillsyn/A 3693-2022 tillsynsbegäran.docx", "A 3693-2022")</f>
        <v/>
      </c>
      <c r="AD47">
        <f>HYPERLINK("https://klasma.github.io/Logging_0682/tillsynsmail/A 3693-2022 tillsynsbegäran mail.docx", "A 3693-2022")</f>
        <v/>
      </c>
      <c r="AE47">
        <f>HYPERLINK("https://klasma.github.io/Logging_0682/fåglar/A 3693-2022 prioriterade fågelarter.docx", "A 3693-2022")</f>
        <v/>
      </c>
    </row>
    <row r="48" ht="15" customHeight="1">
      <c r="A48" t="inlineStr">
        <is>
          <t>A 39717-2022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44819</v>
      </c>
      <c r="E48" s="1" t="n">
        <v>46320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Jungfrulin</t>
        </is>
      </c>
      <c r="W48">
        <f>HYPERLINK("https://klasma.github.io/Logging_0682/artfynd/A 39717-2022 artfynd.xlsx", "A 39717-2022")</f>
        <v/>
      </c>
      <c r="X48">
        <f>HYPERLINK("https://klasma.github.io/Logging_0682/kartor/A 39717-2022 karta.png", "A 39717-2022")</f>
        <v/>
      </c>
      <c r="Y48">
        <f>HYPERLINK("https://klasma.github.io/Logging_0682/kartor_geotiff/A 39717-2022 georefererad karta.tif", "A 39717-2022")</f>
        <v/>
      </c>
      <c r="AA48">
        <f>HYPERLINK("https://klasma.github.io/Logging_0682/klagomål/A 39717-2022 FSC-klagomål.docx", "A 39717-2022")</f>
        <v/>
      </c>
      <c r="AB48">
        <f>HYPERLINK("https://klasma.github.io/Logging_0682/klagomålsmail/A 39717-2022 FSC-klagomål mail.docx", "A 39717-2022")</f>
        <v/>
      </c>
      <c r="AC48">
        <f>HYPERLINK("https://klasma.github.io/Logging_0682/tillsyn/A 39717-2022 tillsynsbegäran.docx", "A 39717-2022")</f>
        <v/>
      </c>
      <c r="AD48">
        <f>HYPERLINK("https://klasma.github.io/Logging_0682/tillsynsmail/A 39717-2022 tillsynsbegäran mail.docx", "A 39717-2022")</f>
        <v/>
      </c>
    </row>
    <row r="49" ht="15" customHeight="1">
      <c r="A49" t="inlineStr">
        <is>
          <t>A 55860-2022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46320</v>
      </c>
      <c r="F49" t="inlineStr">
        <is>
          <t>JÖNKÖPINGS LÄN</t>
        </is>
      </c>
      <c r="G49" t="inlineStr">
        <is>
          <t>NÄSSJÖ</t>
        </is>
      </c>
      <c r="I49" t="n">
        <v>2.6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19</v>
      </c>
      <c r="U49" t="n">
        <v>0</v>
      </c>
      <c r="V49" s="2" t="inlineStr">
        <is>
          <t>Knärot</t>
        </is>
      </c>
      <c r="W49">
        <f>HYPERLINK("https://klasma.github.io/Logging_0682/artfynd/A 55860-2022 artfynd.xlsx", "A 55860-2022")</f>
        <v/>
      </c>
      <c r="X49">
        <f>HYPERLINK("https://klasma.github.io/Logging_0682/kartor/A 55860-2022 karta.png", "A 55860-2022")</f>
        <v/>
      </c>
      <c r="Y49">
        <f>HYPERLINK("https://klasma.github.io/Logging_0682/kartor_geotiff/A 55860-2022 georefererad karta.tif", "A 55860-2022")</f>
        <v/>
      </c>
      <c r="Z49">
        <f>HYPERLINK("https://klasma.github.io/Logging_0682/knärot/A 55860-2022 karta knärot.png", "A 55860-2022")</f>
        <v/>
      </c>
      <c r="AA49">
        <f>HYPERLINK("https://klasma.github.io/Logging_0682/klagomål/A 55860-2022 FSC-klagomål.docx", "A 55860-2022")</f>
        <v/>
      </c>
      <c r="AB49">
        <f>HYPERLINK("https://klasma.github.io/Logging_0682/klagomålsmail/A 55860-2022 FSC-klagomål mail.docx", "A 55860-2022")</f>
        <v/>
      </c>
      <c r="AC49">
        <f>HYPERLINK("https://klasma.github.io/Logging_0682/tillsyn/A 55860-2022 tillsynsbegäran.docx", "A 55860-2022")</f>
        <v/>
      </c>
      <c r="AD49">
        <f>HYPERLINK("https://klasma.github.io/Logging_0682/tillsynsmail/A 55860-2022 tillsynsbegäran mail.docx", "A 55860-2022")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46320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46320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46320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46320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46320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46320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46320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46320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46320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46320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46320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46320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46320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46320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46320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46320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46320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46320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46320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46320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46320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46320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46320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46320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46320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46320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46320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46320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46320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46320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46320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46320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46320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46320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46320</v>
      </c>
      <c r="F84" t="inlineStr">
        <is>
          <t>JÖNKÖPINGS LÄN</t>
        </is>
      </c>
      <c r="G84" t="inlineStr">
        <is>
          <t>NÄSSJÖ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46320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46320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46320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46320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46320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46320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46320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71606-2021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44541</v>
      </c>
      <c r="E92" s="1" t="n">
        <v>46320</v>
      </c>
      <c r="F92" t="inlineStr">
        <is>
          <t>JÖNKÖPINGS LÄN</t>
        </is>
      </c>
      <c r="G92" t="inlineStr">
        <is>
          <t>NÄSSJÖ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45475</v>
      </c>
      <c r="E93" s="1" t="n">
        <v>46320</v>
      </c>
      <c r="F93" t="inlineStr">
        <is>
          <t>JÖNKÖPINGS LÄN</t>
        </is>
      </c>
      <c r="G93" t="inlineStr">
        <is>
          <t>NÄSSJÖ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46320</v>
      </c>
      <c r="F94" t="inlineStr">
        <is>
          <t>JÖNKÖPINGS LÄN</t>
        </is>
      </c>
      <c r="G94" t="inlineStr">
        <is>
          <t>NÄSSJÖ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46320</v>
      </c>
      <c r="F95" t="inlineStr">
        <is>
          <t>JÖNKÖPINGS LÄN</t>
        </is>
      </c>
      <c r="G95" t="inlineStr">
        <is>
          <t>NÄSSJÖ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44816</v>
      </c>
      <c r="E96" s="1" t="n">
        <v>46320</v>
      </c>
      <c r="F96" t="inlineStr">
        <is>
          <t>JÖNKÖPINGS LÄN</t>
        </is>
      </c>
      <c r="G96" t="inlineStr">
        <is>
          <t>NÄSSJÖ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46320</v>
      </c>
      <c r="F97" t="inlineStr">
        <is>
          <t>JÖNKÖPINGS LÄN</t>
        </is>
      </c>
      <c r="G97" t="inlineStr">
        <is>
          <t>NÄSSJÖ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46320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10436-2025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45720</v>
      </c>
      <c r="E99" s="1" t="n">
        <v>46320</v>
      </c>
      <c r="F99" t="inlineStr">
        <is>
          <t>JÖNKÖPINGS LÄN</t>
        </is>
      </c>
      <c r="G99" t="inlineStr">
        <is>
          <t>NÄSSJÖ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46320</v>
      </c>
      <c r="F100" t="inlineStr">
        <is>
          <t>JÖNKÖPINGS LÄN</t>
        </is>
      </c>
      <c r="G100" t="inlineStr">
        <is>
          <t>NÄSSJÖ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46320</v>
      </c>
      <c r="F101" t="inlineStr">
        <is>
          <t>JÖNKÖPINGS LÄN</t>
        </is>
      </c>
      <c r="G101" t="inlineStr">
        <is>
          <t>NÄSSJÖ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51136-2023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45219</v>
      </c>
      <c r="E102" s="1" t="n">
        <v>46320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45343</v>
      </c>
      <c r="E103" s="1" t="n">
        <v>46320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46320</v>
      </c>
      <c r="F104" t="inlineStr">
        <is>
          <t>JÖNKÖPINGS LÄN</t>
        </is>
      </c>
      <c r="G104" t="inlineStr">
        <is>
          <t>NÄSSJÖ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46320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9451-2024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45358</v>
      </c>
      <c r="E106" s="1" t="n">
        <v>46320</v>
      </c>
      <c r="F106" t="inlineStr">
        <is>
          <t>JÖNKÖPINGS LÄN</t>
        </is>
      </c>
      <c r="G106" t="inlineStr">
        <is>
          <t>NÄSSJÖ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46320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39555-2025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45890</v>
      </c>
      <c r="E108" s="1" t="n">
        <v>46320</v>
      </c>
      <c r="F108" t="inlineStr">
        <is>
          <t>JÖNKÖPINGS LÄN</t>
        </is>
      </c>
      <c r="G108" t="inlineStr">
        <is>
          <t>NÄSSJÖ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46320</v>
      </c>
      <c r="F109" t="inlineStr">
        <is>
          <t>JÖNKÖPINGS LÄN</t>
        </is>
      </c>
      <c r="G109" t="inlineStr">
        <is>
          <t>NÄSSJÖ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45402</v>
      </c>
      <c r="E110" s="1" t="n">
        <v>46320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46320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46320</v>
      </c>
      <c r="F112" t="inlineStr">
        <is>
          <t>JÖNKÖPINGS LÄN</t>
        </is>
      </c>
      <c r="G112" t="inlineStr">
        <is>
          <t>NÄSSJÖ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46320</v>
      </c>
      <c r="F113" t="inlineStr">
        <is>
          <t>JÖNKÖPINGS LÄN</t>
        </is>
      </c>
      <c r="G113" t="inlineStr">
        <is>
          <t>NÄSSJÖ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46320</v>
      </c>
      <c r="F114" t="inlineStr">
        <is>
          <t>JÖNKÖPINGS LÄN</t>
        </is>
      </c>
      <c r="G114" t="inlineStr">
        <is>
          <t>NÄSSJÖ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46320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46320</v>
      </c>
      <c r="F116" t="inlineStr">
        <is>
          <t>JÖNKÖPINGS LÄN</t>
        </is>
      </c>
      <c r="G116" t="inlineStr">
        <is>
          <t>NÄSSJÖ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17038-2024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46320</v>
      </c>
      <c r="F117" t="inlineStr">
        <is>
          <t>JÖNKÖPINGS LÄN</t>
        </is>
      </c>
      <c r="G117" t="inlineStr">
        <is>
          <t>NÄSSJÖ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45567</v>
      </c>
      <c r="E118" s="1" t="n">
        <v>46320</v>
      </c>
      <c r="F118" t="inlineStr">
        <is>
          <t>JÖNKÖPINGS LÄN</t>
        </is>
      </c>
      <c r="G118" t="inlineStr">
        <is>
          <t>NÄSSJÖ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46320</v>
      </c>
      <c r="F119" t="inlineStr">
        <is>
          <t>JÖNKÖPINGS LÄN</t>
        </is>
      </c>
      <c r="G119" t="inlineStr">
        <is>
          <t>NÄSSJÖ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45404</v>
      </c>
      <c r="E120" s="1" t="n">
        <v>46320</v>
      </c>
      <c r="F120" t="inlineStr">
        <is>
          <t>JÖNKÖPINGS LÄN</t>
        </is>
      </c>
      <c r="G120" t="inlineStr">
        <is>
          <t>NÄSSJÖ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45899</v>
      </c>
      <c r="E121" s="1" t="n">
        <v>46320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46320</v>
      </c>
      <c r="F122" t="inlineStr">
        <is>
          <t>JÖNKÖPINGS LÄN</t>
        </is>
      </c>
      <c r="G122" t="inlineStr">
        <is>
          <t>NÄSSJÖ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45270</v>
      </c>
      <c r="E123" s="1" t="n">
        <v>46320</v>
      </c>
      <c r="F123" t="inlineStr">
        <is>
          <t>JÖNKÖPINGS LÄN</t>
        </is>
      </c>
      <c r="G123" t="inlineStr">
        <is>
          <t>NÄSSJÖ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49440-2024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46320</v>
      </c>
      <c r="F124" t="inlineStr">
        <is>
          <t>JÖNKÖPINGS LÄN</t>
        </is>
      </c>
      <c r="G124" t="inlineStr">
        <is>
          <t>NÄSSJÖ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46320</v>
      </c>
      <c r="F125" t="inlineStr">
        <is>
          <t>JÖNKÖPINGS LÄN</t>
        </is>
      </c>
      <c r="G125" t="inlineStr">
        <is>
          <t>NÄSSJÖ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46320</v>
      </c>
      <c r="F126" t="inlineStr">
        <is>
          <t>JÖNKÖPINGS LÄN</t>
        </is>
      </c>
      <c r="G126" t="inlineStr">
        <is>
          <t>NÄSSJÖ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46320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45873</v>
      </c>
      <c r="E128" s="1" t="n">
        <v>46320</v>
      </c>
      <c r="F128" t="inlineStr">
        <is>
          <t>JÖNKÖPINGS LÄN</t>
        </is>
      </c>
      <c r="G128" t="inlineStr">
        <is>
          <t>NÄSSJÖ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44916</v>
      </c>
      <c r="E129" s="1" t="n">
        <v>46320</v>
      </c>
      <c r="F129" t="inlineStr">
        <is>
          <t>JÖNKÖPINGS LÄN</t>
        </is>
      </c>
      <c r="G129" t="inlineStr">
        <is>
          <t>NÄSSJÖ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45907</v>
      </c>
      <c r="E130" s="1" t="n">
        <v>46320</v>
      </c>
      <c r="F130" t="inlineStr">
        <is>
          <t>JÖNKÖPINGS LÄN</t>
        </is>
      </c>
      <c r="G130" t="inlineStr">
        <is>
          <t>NÄSSJÖ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45907</v>
      </c>
      <c r="E131" s="1" t="n">
        <v>46320</v>
      </c>
      <c r="F131" t="inlineStr">
        <is>
          <t>JÖNKÖPINGS LÄN</t>
        </is>
      </c>
      <c r="G131" t="inlineStr">
        <is>
          <t>NÄSSJÖ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46320</v>
      </c>
      <c r="F132" t="inlineStr">
        <is>
          <t>JÖNKÖPINGS LÄN</t>
        </is>
      </c>
      <c r="G132" t="inlineStr">
        <is>
          <t>NÄSSJÖ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45737</v>
      </c>
      <c r="E133" s="1" t="n">
        <v>46320</v>
      </c>
      <c r="F133" t="inlineStr">
        <is>
          <t>JÖNKÖPINGS LÄN</t>
        </is>
      </c>
      <c r="G133" t="inlineStr">
        <is>
          <t>NÄSSJÖ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46320</v>
      </c>
      <c r="F134" t="inlineStr">
        <is>
          <t>JÖNKÖPINGS LÄN</t>
        </is>
      </c>
      <c r="G134" t="inlineStr">
        <is>
          <t>NÄSSJÖ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45776</v>
      </c>
      <c r="E135" s="1" t="n">
        <v>46320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46320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46320</v>
      </c>
      <c r="F137" t="inlineStr">
        <is>
          <t>JÖNKÖPINGS LÄN</t>
        </is>
      </c>
      <c r="G137" t="inlineStr">
        <is>
          <t>NÄSSJÖ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46320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45917</v>
      </c>
      <c r="E139" s="1" t="n">
        <v>46320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46320</v>
      </c>
      <c r="F140" t="inlineStr">
        <is>
          <t>JÖNKÖPINGS LÄN</t>
        </is>
      </c>
      <c r="G140" t="inlineStr">
        <is>
          <t>NÄSSJÖ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45277</v>
      </c>
      <c r="E141" s="1" t="n">
        <v>46320</v>
      </c>
      <c r="F141" t="inlineStr">
        <is>
          <t>JÖNKÖPINGS LÄN</t>
        </is>
      </c>
      <c r="G141" t="inlineStr">
        <is>
          <t>NÄSSJÖ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44976</v>
      </c>
      <c r="E142" s="1" t="n">
        <v>46320</v>
      </c>
      <c r="F142" t="inlineStr">
        <is>
          <t>JÖNKÖPINGS LÄN</t>
        </is>
      </c>
      <c r="G142" t="inlineStr">
        <is>
          <t>NÄSSJÖ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46320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46320</v>
      </c>
      <c r="F144" t="inlineStr">
        <is>
          <t>JÖNKÖPINGS LÄN</t>
        </is>
      </c>
      <c r="G144" t="inlineStr">
        <is>
          <t>NÄSSJÖ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46320</v>
      </c>
      <c r="F145" t="inlineStr">
        <is>
          <t>JÖNKÖPINGS LÄN</t>
        </is>
      </c>
      <c r="G145" t="inlineStr">
        <is>
          <t>NÄSSJÖ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46320</v>
      </c>
      <c r="F146" t="inlineStr">
        <is>
          <t>JÖNKÖPINGS LÄN</t>
        </is>
      </c>
      <c r="G146" t="inlineStr">
        <is>
          <t>NÄSSJÖ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24873-2026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46174</v>
      </c>
      <c r="E147" s="1" t="n">
        <v>46320</v>
      </c>
      <c r="F147" t="inlineStr">
        <is>
          <t>JÖNKÖPINGS LÄN</t>
        </is>
      </c>
      <c r="G147" t="inlineStr">
        <is>
          <t>NÄSSJÖ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44848</v>
      </c>
      <c r="E148" s="1" t="n">
        <v>46320</v>
      </c>
      <c r="F148" t="inlineStr">
        <is>
          <t>JÖNKÖPINGS LÄN</t>
        </is>
      </c>
      <c r="G148" t="inlineStr">
        <is>
          <t>NÄSSJÖ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46320</v>
      </c>
      <c r="F149" t="inlineStr">
        <is>
          <t>JÖNKÖPINGS LÄN</t>
        </is>
      </c>
      <c r="G149" t="inlineStr">
        <is>
          <t>NÄSSJÖ</t>
        </is>
      </c>
      <c r="H149" t="inlineStr">
        <is>
          <t>Kommuner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46320</v>
      </c>
      <c r="F150" t="inlineStr">
        <is>
          <t>JÖNKÖPINGS LÄN</t>
        </is>
      </c>
      <c r="G150" t="inlineStr">
        <is>
          <t>NÄSSJÖ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46320</v>
      </c>
      <c r="F151" t="inlineStr">
        <is>
          <t>JÖNKÖPINGS LÄN</t>
        </is>
      </c>
      <c r="G151" t="inlineStr">
        <is>
          <t>NÄSSJÖ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24867-2026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46320</v>
      </c>
      <c r="F152" t="inlineStr">
        <is>
          <t>JÖNKÖPINGS LÄN</t>
        </is>
      </c>
      <c r="G152" t="inlineStr">
        <is>
          <t>NÄSSJÖ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46320</v>
      </c>
      <c r="F153" t="inlineStr">
        <is>
          <t>JÖNKÖPINGS LÄN</t>
        </is>
      </c>
      <c r="G153" t="inlineStr">
        <is>
          <t>NÄSSJÖ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46320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50219-2025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45943</v>
      </c>
      <c r="E155" s="1" t="n">
        <v>46320</v>
      </c>
      <c r="F155" t="inlineStr">
        <is>
          <t>JÖNKÖPINGS LÄN</t>
        </is>
      </c>
      <c r="G155" t="inlineStr">
        <is>
          <t>NÄSSJÖ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45943</v>
      </c>
      <c r="E156" s="1" t="n">
        <v>46320</v>
      </c>
      <c r="F156" t="inlineStr">
        <is>
          <t>JÖNKÖPINGS LÄN</t>
        </is>
      </c>
      <c r="G156" t="inlineStr">
        <is>
          <t>NÄSSJÖ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43998-2023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46320</v>
      </c>
      <c r="F157" t="inlineStr">
        <is>
          <t>JÖNKÖPINGS LÄN</t>
        </is>
      </c>
      <c r="G157" t="inlineStr">
        <is>
          <t>NÄSSJÖ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46320</v>
      </c>
      <c r="F158" t="inlineStr">
        <is>
          <t>JÖNKÖPINGS LÄN</t>
        </is>
      </c>
      <c r="G158" t="inlineStr">
        <is>
          <t>NÄSSJÖ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45302</v>
      </c>
      <c r="E159" s="1" t="n">
        <v>46320</v>
      </c>
      <c r="F159" t="inlineStr">
        <is>
          <t>JÖNKÖPINGS LÄN</t>
        </is>
      </c>
      <c r="G159" t="inlineStr">
        <is>
          <t>NÄSSJÖ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46320</v>
      </c>
      <c r="F160" t="inlineStr">
        <is>
          <t>JÖNKÖPINGS LÄN</t>
        </is>
      </c>
      <c r="G160" t="inlineStr">
        <is>
          <t>NÄSSJÖ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46320</v>
      </c>
      <c r="F161" t="inlineStr">
        <is>
          <t>JÖNKÖPINGS LÄN</t>
        </is>
      </c>
      <c r="G161" t="inlineStr">
        <is>
          <t>NÄSSJÖ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46320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46320</v>
      </c>
      <c r="F163" t="inlineStr">
        <is>
          <t>JÖNKÖPINGS LÄN</t>
        </is>
      </c>
      <c r="G163" t="inlineStr">
        <is>
          <t>NÄSSJÖ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45372</v>
      </c>
      <c r="E164" s="1" t="n">
        <v>46320</v>
      </c>
      <c r="F164" t="inlineStr">
        <is>
          <t>JÖNKÖPINGS LÄN</t>
        </is>
      </c>
      <c r="G164" t="inlineStr">
        <is>
          <t>NÄSSJÖ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46320</v>
      </c>
      <c r="F165" t="inlineStr">
        <is>
          <t>JÖNKÖPINGS LÄN</t>
        </is>
      </c>
      <c r="G165" t="inlineStr">
        <is>
          <t>NÄSSJÖ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46320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45109</v>
      </c>
      <c r="E167" s="1" t="n">
        <v>46320</v>
      </c>
      <c r="F167" t="inlineStr">
        <is>
          <t>JÖNKÖPINGS LÄN</t>
        </is>
      </c>
      <c r="G167" t="inlineStr">
        <is>
          <t>NÄSSJÖ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50439-2025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45944</v>
      </c>
      <c r="E168" s="1" t="n">
        <v>46320</v>
      </c>
      <c r="F168" t="inlineStr">
        <is>
          <t>JÖNKÖPINGS LÄN</t>
        </is>
      </c>
      <c r="G168" t="inlineStr">
        <is>
          <t>NÄSSJÖ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46320</v>
      </c>
      <c r="F169" t="inlineStr">
        <is>
          <t>JÖNKÖPINGS LÄN</t>
        </is>
      </c>
      <c r="G169" t="inlineStr">
        <is>
          <t>NÄSSJÖ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46320</v>
      </c>
      <c r="F170" t="inlineStr">
        <is>
          <t>JÖNKÖPINGS LÄN</t>
        </is>
      </c>
      <c r="G170" t="inlineStr">
        <is>
          <t>NÄSSJÖ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46320</v>
      </c>
      <c r="F171" t="inlineStr">
        <is>
          <t>JÖNKÖPINGS LÄN</t>
        </is>
      </c>
      <c r="G171" t="inlineStr">
        <is>
          <t>NÄSSJÖ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45616</v>
      </c>
      <c r="E172" s="1" t="n">
        <v>46320</v>
      </c>
      <c r="F172" t="inlineStr">
        <is>
          <t>JÖNKÖPINGS LÄN</t>
        </is>
      </c>
      <c r="G172" t="inlineStr">
        <is>
          <t>NÄSSJÖ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46320</v>
      </c>
      <c r="F173" t="inlineStr">
        <is>
          <t>JÖNKÖPINGS LÄN</t>
        </is>
      </c>
      <c r="G173" t="inlineStr">
        <is>
          <t>NÄSSJÖ</t>
        </is>
      </c>
      <c r="H173" t="inlineStr">
        <is>
          <t>Övriga Aktiebolag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46320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45454</v>
      </c>
      <c r="E175" s="1" t="n">
        <v>46320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44564</v>
      </c>
      <c r="E176" s="1" t="n">
        <v>46320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45303</v>
      </c>
      <c r="E177" s="1" t="n">
        <v>46320</v>
      </c>
      <c r="F177" t="inlineStr">
        <is>
          <t>JÖNKÖPINGS LÄN</t>
        </is>
      </c>
      <c r="G177" t="inlineStr">
        <is>
          <t>NÄSSJÖ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46187</v>
      </c>
      <c r="E178" s="1" t="n">
        <v>46320</v>
      </c>
      <c r="F178" t="inlineStr">
        <is>
          <t>JÖNKÖPINGS LÄN</t>
        </is>
      </c>
      <c r="G178" t="inlineStr">
        <is>
          <t>NÄSSJÖ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46187</v>
      </c>
      <c r="E179" s="1" t="n">
        <v>46320</v>
      </c>
      <c r="F179" t="inlineStr">
        <is>
          <t>JÖNKÖPINGS LÄN</t>
        </is>
      </c>
      <c r="G179" t="inlineStr">
        <is>
          <t>NÄSSJÖ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46187</v>
      </c>
      <c r="E180" s="1" t="n">
        <v>46320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46320</v>
      </c>
      <c r="F181" t="inlineStr">
        <is>
          <t>JÖNKÖPINGS LÄN</t>
        </is>
      </c>
      <c r="G181" t="inlineStr">
        <is>
          <t>NÄSSJÖ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46320</v>
      </c>
      <c r="F182" t="inlineStr">
        <is>
          <t>JÖNKÖPINGS LÄN</t>
        </is>
      </c>
      <c r="G182" t="inlineStr">
        <is>
          <t>NÄSSJÖ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28340-2023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45099</v>
      </c>
      <c r="E183" s="1" t="n">
        <v>46320</v>
      </c>
      <c r="F183" t="inlineStr">
        <is>
          <t>JÖNKÖPINGS LÄN</t>
        </is>
      </c>
      <c r="G183" t="inlineStr">
        <is>
          <t>NÄSSJÖ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52241-2022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44873</v>
      </c>
      <c r="E184" s="1" t="n">
        <v>46320</v>
      </c>
      <c r="F184" t="inlineStr">
        <is>
          <t>JÖNKÖPINGS LÄN</t>
        </is>
      </c>
      <c r="G184" t="inlineStr">
        <is>
          <t>NÄSSJÖ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46320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46320</v>
      </c>
      <c r="F186" t="inlineStr">
        <is>
          <t>JÖNKÖPINGS LÄN</t>
        </is>
      </c>
      <c r="G186" t="inlineStr">
        <is>
          <t>NÄSSJÖ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46320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46190</v>
      </c>
      <c r="E188" s="1" t="n">
        <v>46320</v>
      </c>
      <c r="F188" t="inlineStr">
        <is>
          <t>JÖNKÖPINGS LÄN</t>
        </is>
      </c>
      <c r="G188" t="inlineStr">
        <is>
          <t>NÄSSJÖ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46190</v>
      </c>
      <c r="E189" s="1" t="n">
        <v>46320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46320</v>
      </c>
      <c r="F190" t="inlineStr">
        <is>
          <t>JÖNKÖPINGS LÄN</t>
        </is>
      </c>
      <c r="G190" t="inlineStr">
        <is>
          <t>NÄSSJÖ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15325-2022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44659</v>
      </c>
      <c r="E191" s="1" t="n">
        <v>46320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46320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46320</v>
      </c>
      <c r="F193" t="inlineStr">
        <is>
          <t>JÖNKÖPINGS LÄN</t>
        </is>
      </c>
      <c r="G193" t="inlineStr">
        <is>
          <t>NÄSSJÖ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46320</v>
      </c>
      <c r="F194" t="inlineStr">
        <is>
          <t>JÖNKÖPINGS LÄN</t>
        </is>
      </c>
      <c r="G194" t="inlineStr">
        <is>
          <t>NÄSSJÖ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46320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46320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46320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45046</v>
      </c>
      <c r="E198" s="1" t="n">
        <v>46320</v>
      </c>
      <c r="F198" t="inlineStr">
        <is>
          <t>JÖNKÖPINGS LÄN</t>
        </is>
      </c>
      <c r="G198" t="inlineStr">
        <is>
          <t>NÄSSJÖ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46320</v>
      </c>
      <c r="F199" t="inlineStr">
        <is>
          <t>JÖNKÖPINGS LÄN</t>
        </is>
      </c>
      <c r="G199" t="inlineStr">
        <is>
          <t>NÄSSJÖ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46320</v>
      </c>
      <c r="F200" t="inlineStr">
        <is>
          <t>JÖNKÖPINGS LÄN</t>
        </is>
      </c>
      <c r="G200" t="inlineStr">
        <is>
          <t>NÄSSJÖ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HYPERLINK("https://klasma.github.io/Logging_0682/knärot/A 56586-2025 karta knärot.png", "A 56586-2025")</f>
        <v/>
      </c>
      <c r="AA200">
        <f>HYPERLINK("https://klasma.github.io/Logging_0682/klagomål/A 56586-2025 FSC-klagomål.docx", "A 56586-2025")</f>
        <v/>
      </c>
      <c r="AB200">
        <f>HYPERLINK("https://klasma.github.io/Logging_0682/klagomålsmail/A 56586-2025 FSC-klagomål mail.docx", "A 56586-2025")</f>
        <v/>
      </c>
      <c r="AC200">
        <f>HYPERLINK("https://klasma.github.io/Logging_0682/tillsyn/A 56586-2025 tillsynsbegäran.docx", "A 56586-2025")</f>
        <v/>
      </c>
      <c r="AD200">
        <f>HYPERLINK("https://klasma.github.io/Logging_0682/tillsynsmail/A 56586-2025 tillsynsbegäran mail.docx", "A 56586-2025")</f>
        <v/>
      </c>
    </row>
    <row r="201" ht="15" customHeight="1">
      <c r="A201" t="inlineStr">
        <is>
          <t>A 42751-2023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46320</v>
      </c>
      <c r="F201" t="inlineStr">
        <is>
          <t>JÖNKÖPINGS LÄN</t>
        </is>
      </c>
      <c r="G201" t="inlineStr">
        <is>
          <t>NÄSSJÖ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28844-2026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46320</v>
      </c>
      <c r="F202" t="inlineStr">
        <is>
          <t>JÖNKÖPINGS LÄN</t>
        </is>
      </c>
      <c r="G202" t="inlineStr">
        <is>
          <t>NÄSSJÖ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46320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46320</v>
      </c>
      <c r="F204" t="inlineStr">
        <is>
          <t>JÖNKÖPINGS LÄN</t>
        </is>
      </c>
      <c r="G204" t="inlineStr">
        <is>
          <t>NÄSSJÖ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46202</v>
      </c>
      <c r="E205" s="1" t="n">
        <v>46320</v>
      </c>
      <c r="F205" t="inlineStr">
        <is>
          <t>JÖNKÖPINGS LÄN</t>
        </is>
      </c>
      <c r="G205" t="inlineStr">
        <is>
          <t>NÄSSJÖ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46320</v>
      </c>
      <c r="F206" t="inlineStr">
        <is>
          <t>JÖNKÖPINGS LÄN</t>
        </is>
      </c>
      <c r="G206" t="inlineStr">
        <is>
          <t>NÄSSJÖ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46320</v>
      </c>
      <c r="F207" t="inlineStr">
        <is>
          <t>JÖNKÖPINGS LÄN</t>
        </is>
      </c>
      <c r="G207" t="inlineStr">
        <is>
          <t>NÄSSJÖ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45266</v>
      </c>
      <c r="E208" s="1" t="n">
        <v>46320</v>
      </c>
      <c r="F208" t="inlineStr">
        <is>
          <t>JÖNKÖPINGS LÄN</t>
        </is>
      </c>
      <c r="G208" t="inlineStr">
        <is>
          <t>NÄSSJÖ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45704</v>
      </c>
      <c r="E209" s="1" t="n">
        <v>46320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46204</v>
      </c>
      <c r="E210" s="1" t="n">
        <v>46320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46320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46320</v>
      </c>
      <c r="F212" t="inlineStr">
        <is>
          <t>JÖNKÖPINGS LÄN</t>
        </is>
      </c>
      <c r="G212" t="inlineStr">
        <is>
          <t>NÄSSJÖ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46320</v>
      </c>
      <c r="F213" t="inlineStr">
        <is>
          <t>JÖNKÖPINGS LÄN</t>
        </is>
      </c>
      <c r="G213" t="inlineStr">
        <is>
          <t>NÄSSJÖ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46320</v>
      </c>
      <c r="F214" t="inlineStr">
        <is>
          <t>JÖNKÖPINGS LÄN</t>
        </is>
      </c>
      <c r="G214" t="inlineStr">
        <is>
          <t>NÄSSJÖ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46320</v>
      </c>
      <c r="F215" t="inlineStr">
        <is>
          <t>JÖNKÖPINGS LÄN</t>
        </is>
      </c>
      <c r="G215" t="inlineStr">
        <is>
          <t>NÄSSJÖ</t>
        </is>
      </c>
      <c r="H215" t="inlineStr">
        <is>
          <t>Sveaskog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46320</v>
      </c>
      <c r="F216" t="inlineStr">
        <is>
          <t>JÖNKÖPINGS LÄN</t>
        </is>
      </c>
      <c r="G216" t="inlineStr">
        <is>
          <t>NÄSSJÖ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46320</v>
      </c>
      <c r="F217" t="inlineStr">
        <is>
          <t>JÖNKÖPINGS LÄN</t>
        </is>
      </c>
      <c r="G217" t="inlineStr">
        <is>
          <t>NÄSSJÖ</t>
        </is>
      </c>
      <c r="H217" t="inlineStr">
        <is>
          <t>Sveaskog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46209</v>
      </c>
      <c r="E218" s="1" t="n">
        <v>46320</v>
      </c>
      <c r="F218" t="inlineStr">
        <is>
          <t>JÖNKÖPINGS LÄN</t>
        </is>
      </c>
      <c r="G218" t="inlineStr">
        <is>
          <t>NÄSSJÖ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46320</v>
      </c>
      <c r="F219" t="inlineStr">
        <is>
          <t>JÖNKÖPINGS LÄN</t>
        </is>
      </c>
      <c r="G219" t="inlineStr">
        <is>
          <t>NÄSSJÖ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30376-2026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46320</v>
      </c>
      <c r="F220" t="inlineStr">
        <is>
          <t>JÖNKÖPINGS LÄN</t>
        </is>
      </c>
      <c r="G220" t="inlineStr">
        <is>
          <t>NÄSSJÖ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46209</v>
      </c>
      <c r="E221" s="1" t="n">
        <v>46320</v>
      </c>
      <c r="F221" t="inlineStr">
        <is>
          <t>JÖNKÖPINGS LÄN</t>
        </is>
      </c>
      <c r="G221" t="inlineStr">
        <is>
          <t>NÄSSJÖ</t>
        </is>
      </c>
      <c r="H221" t="inlineStr">
        <is>
          <t>Sveaskog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46320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45644</v>
      </c>
      <c r="E223" s="1" t="n">
        <v>46320</v>
      </c>
      <c r="F223" t="inlineStr">
        <is>
          <t>JÖNKÖPINGS LÄN</t>
        </is>
      </c>
      <c r="G223" t="inlineStr">
        <is>
          <t>NÄSSJÖ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45625</v>
      </c>
      <c r="E224" s="1" t="n">
        <v>46320</v>
      </c>
      <c r="F224" t="inlineStr">
        <is>
          <t>JÖNKÖPINGS LÄN</t>
        </is>
      </c>
      <c r="G224" t="inlineStr">
        <is>
          <t>NÄSSJÖ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46320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32982-2024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45517</v>
      </c>
      <c r="E226" s="1" t="n">
        <v>46320</v>
      </c>
      <c r="F226" t="inlineStr">
        <is>
          <t>JÖNKÖPINGS LÄN</t>
        </is>
      </c>
      <c r="G226" t="inlineStr">
        <is>
          <t>NÄSSJÖ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46320</v>
      </c>
      <c r="F227" t="inlineStr">
        <is>
          <t>JÖNKÖPINGS LÄN</t>
        </is>
      </c>
      <c r="G227" t="inlineStr">
        <is>
          <t>NÄSSJÖ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46320</v>
      </c>
      <c r="F228" t="inlineStr">
        <is>
          <t>JÖNKÖPINGS LÄN</t>
        </is>
      </c>
      <c r="G228" t="inlineStr">
        <is>
          <t>NÄSSJÖ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46320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60535-2025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45995</v>
      </c>
      <c r="E230" s="1" t="n">
        <v>46320</v>
      </c>
      <c r="F230" t="inlineStr">
        <is>
          <t>JÖNKÖPINGS LÄN</t>
        </is>
      </c>
      <c r="G230" t="inlineStr">
        <is>
          <t>NÄSSJÖ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46320</v>
      </c>
      <c r="F231" t="inlineStr">
        <is>
          <t>JÖNKÖPINGS LÄN</t>
        </is>
      </c>
      <c r="G231" t="inlineStr">
        <is>
          <t>NÄSSJÖ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45328</v>
      </c>
      <c r="E232" s="1" t="n">
        <v>46320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46320</v>
      </c>
      <c r="F233" t="inlineStr">
        <is>
          <t>JÖNKÖPINGS LÄN</t>
        </is>
      </c>
      <c r="G233" t="inlineStr">
        <is>
          <t>NÄSSJÖ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46320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46320</v>
      </c>
      <c r="F235" t="inlineStr">
        <is>
          <t>JÖNKÖPINGS LÄN</t>
        </is>
      </c>
      <c r="G235" t="inlineStr">
        <is>
          <t>NÄSSJÖ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46320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46320</v>
      </c>
      <c r="F237" t="inlineStr">
        <is>
          <t>JÖNKÖPINGS LÄN</t>
        </is>
      </c>
      <c r="G237" t="inlineStr">
        <is>
          <t>NÄSSJÖ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45776</v>
      </c>
      <c r="E238" s="1" t="n">
        <v>46320</v>
      </c>
      <c r="F238" t="inlineStr">
        <is>
          <t>JÖNKÖPINGS LÄN</t>
        </is>
      </c>
      <c r="G238" t="inlineStr">
        <is>
          <t>NÄSSJÖ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46320</v>
      </c>
      <c r="F239" t="inlineStr">
        <is>
          <t>JÖNKÖPINGS LÄN</t>
        </is>
      </c>
      <c r="G239" t="inlineStr">
        <is>
          <t>NÄSSJÖ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45784</v>
      </c>
      <c r="E240" s="1" t="n">
        <v>46320</v>
      </c>
      <c r="F240" t="inlineStr">
        <is>
          <t>JÖNKÖPINGS LÄN</t>
        </is>
      </c>
      <c r="G240" t="inlineStr">
        <is>
          <t>NÄSSJÖ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45784</v>
      </c>
      <c r="E241" s="1" t="n">
        <v>46320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62611-2025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46008</v>
      </c>
      <c r="E242" s="1" t="n">
        <v>46320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46320</v>
      </c>
      <c r="F243" t="inlineStr">
        <is>
          <t>JÖNKÖPINGS LÄN</t>
        </is>
      </c>
      <c r="G243" t="inlineStr">
        <is>
          <t>NÄSSJÖ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45599</v>
      </c>
      <c r="E244" s="1" t="n">
        <v>46320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7175-2022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44605</v>
      </c>
      <c r="E245" s="1" t="n">
        <v>46320</v>
      </c>
      <c r="F245" t="inlineStr">
        <is>
          <t>JÖNKÖPINGS LÄN</t>
        </is>
      </c>
      <c r="G245" t="inlineStr">
        <is>
          <t>NÄSSJÖ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46320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46320</v>
      </c>
      <c r="F247" t="inlineStr">
        <is>
          <t>JÖNKÖPINGS LÄN</t>
        </is>
      </c>
      <c r="G247" t="inlineStr">
        <is>
          <t>NÄSSJÖ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46320</v>
      </c>
      <c r="F248" t="inlineStr">
        <is>
          <t>JÖNKÖPINGS LÄN</t>
        </is>
      </c>
      <c r="G248" t="inlineStr">
        <is>
          <t>NÄSSJÖ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45320</v>
      </c>
      <c r="E249" s="1" t="n">
        <v>46320</v>
      </c>
      <c r="F249" t="inlineStr">
        <is>
          <t>JÖNKÖPINGS LÄN</t>
        </is>
      </c>
      <c r="G249" t="inlineStr">
        <is>
          <t>NÄSSJÖ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46283</v>
      </c>
      <c r="E250" s="1" t="n">
        <v>46320</v>
      </c>
      <c r="F250" t="inlineStr">
        <is>
          <t>JÖNKÖPINGS LÄN</t>
        </is>
      </c>
      <c r="G250" t="inlineStr">
        <is>
          <t>NÄSSJÖ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45791</v>
      </c>
      <c r="E251" s="1" t="n">
        <v>46320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46320</v>
      </c>
      <c r="F252" t="inlineStr">
        <is>
          <t>JÖNKÖPINGS LÄN</t>
        </is>
      </c>
      <c r="G252" t="inlineStr">
        <is>
          <t>NÄSSJÖ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46320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46320</v>
      </c>
      <c r="F254" t="inlineStr">
        <is>
          <t>JÖNKÖPINGS LÄN</t>
        </is>
      </c>
      <c r="G254" t="inlineStr">
        <is>
          <t>NÄSSJÖ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46243</v>
      </c>
      <c r="E255" s="1" t="n">
        <v>46320</v>
      </c>
      <c r="F255" t="inlineStr">
        <is>
          <t>JÖNKÖPINGS LÄN</t>
        </is>
      </c>
      <c r="G255" t="inlineStr">
        <is>
          <t>NÄSSJÖ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46320</v>
      </c>
      <c r="F256" t="inlineStr">
        <is>
          <t>JÖNKÖPINGS LÄN</t>
        </is>
      </c>
      <c r="G256" t="inlineStr">
        <is>
          <t>NÄSSJÖ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45791</v>
      </c>
      <c r="E257" s="1" t="n">
        <v>46320</v>
      </c>
      <c r="F257" t="inlineStr">
        <is>
          <t>JÖNKÖPINGS LÄN</t>
        </is>
      </c>
      <c r="G257" t="inlineStr">
        <is>
          <t>NÄSSJÖ</t>
        </is>
      </c>
      <c r="I257" t="n">
        <v>10.4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46243</v>
      </c>
      <c r="E258" s="1" t="n">
        <v>46320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45795</v>
      </c>
      <c r="E259" s="1" t="n">
        <v>46320</v>
      </c>
      <c r="F259" t="inlineStr">
        <is>
          <t>JÖNKÖPINGS LÄN</t>
        </is>
      </c>
      <c r="G259" t="inlineStr">
        <is>
          <t>NÄSSJÖ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46283</v>
      </c>
      <c r="E260" s="1" t="n">
        <v>46320</v>
      </c>
      <c r="F260" t="inlineStr">
        <is>
          <t>JÖNKÖPINGS LÄN</t>
        </is>
      </c>
      <c r="G260" t="inlineStr">
        <is>
          <t>NÄSSJÖ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46243</v>
      </c>
      <c r="E261" s="1" t="n">
        <v>46320</v>
      </c>
      <c r="F261" t="inlineStr">
        <is>
          <t>JÖNKÖPINGS LÄN</t>
        </is>
      </c>
      <c r="G261" t="inlineStr">
        <is>
          <t>NÄSSJÖ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46243</v>
      </c>
      <c r="E262" s="1" t="n">
        <v>46320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46243</v>
      </c>
      <c r="E263" s="1" t="n">
        <v>46320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45795</v>
      </c>
      <c r="E264" s="1" t="n">
        <v>46320</v>
      </c>
      <c r="F264" t="inlineStr">
        <is>
          <t>JÖNKÖPINGS LÄN</t>
        </is>
      </c>
      <c r="G264" t="inlineStr">
        <is>
          <t>NÄSSJÖ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46283</v>
      </c>
      <c r="E265" s="1" t="n">
        <v>46320</v>
      </c>
      <c r="F265" t="inlineStr">
        <is>
          <t>JÖNKÖPINGS LÄN</t>
        </is>
      </c>
      <c r="G265" t="inlineStr">
        <is>
          <t>NÄSSJÖ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60724-2023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46320</v>
      </c>
      <c r="F266" t="inlineStr">
        <is>
          <t>JÖNKÖPINGS LÄN</t>
        </is>
      </c>
      <c r="G266" t="inlineStr">
        <is>
          <t>NÄSSJÖ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45728</v>
      </c>
      <c r="E267" s="1" t="n">
        <v>46320</v>
      </c>
      <c r="F267" t="inlineStr">
        <is>
          <t>JÖNKÖPINGS LÄN</t>
        </is>
      </c>
      <c r="G267" t="inlineStr">
        <is>
          <t>NÄSSJÖ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46320</v>
      </c>
      <c r="F268" t="inlineStr">
        <is>
          <t>JÖNKÖPINGS LÄN</t>
        </is>
      </c>
      <c r="G268" t="inlineStr">
        <is>
          <t>NÄSSJÖ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46320</v>
      </c>
      <c r="F269" t="inlineStr">
        <is>
          <t>JÖNKÖPINGS LÄN</t>
        </is>
      </c>
      <c r="G269" t="inlineStr">
        <is>
          <t>NÄSSJÖ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46320</v>
      </c>
      <c r="F270" t="inlineStr">
        <is>
          <t>JÖNKÖPINGS LÄN</t>
        </is>
      </c>
      <c r="G270" t="inlineStr">
        <is>
          <t>NÄSSJÖ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45742</v>
      </c>
      <c r="E271" s="1" t="n">
        <v>46320</v>
      </c>
      <c r="F271" t="inlineStr">
        <is>
          <t>JÖNKÖPINGS LÄN</t>
        </is>
      </c>
      <c r="G271" t="inlineStr">
        <is>
          <t>NÄSSJÖ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46320</v>
      </c>
      <c r="F272" t="inlineStr">
        <is>
          <t>JÖNKÖPINGS LÄN</t>
        </is>
      </c>
      <c r="G272" t="inlineStr">
        <is>
          <t>NÄSSJÖ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46320</v>
      </c>
      <c r="F273" t="inlineStr">
        <is>
          <t>JÖNKÖPINGS LÄN</t>
        </is>
      </c>
      <c r="G273" t="inlineStr">
        <is>
          <t>NÄSSJÖ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46320</v>
      </c>
      <c r="F274" t="inlineStr">
        <is>
          <t>JÖNKÖPINGS LÄN</t>
        </is>
      </c>
      <c r="G274" t="inlineStr">
        <is>
          <t>NÄSSJÖ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46320</v>
      </c>
      <c r="F275" t="inlineStr">
        <is>
          <t>JÖNKÖPINGS LÄN</t>
        </is>
      </c>
      <c r="G275" t="inlineStr">
        <is>
          <t>NÄSSJÖ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46320</v>
      </c>
      <c r="F276" t="inlineStr">
        <is>
          <t>JÖNKÖPINGS LÄN</t>
        </is>
      </c>
      <c r="G276" t="inlineStr">
        <is>
          <t>NÄSSJÖ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46320</v>
      </c>
      <c r="F277" t="inlineStr">
        <is>
          <t>JÖNKÖPINGS LÄN</t>
        </is>
      </c>
      <c r="G277" t="inlineStr">
        <is>
          <t>NÄSSJÖ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46320</v>
      </c>
      <c r="F278" t="inlineStr">
        <is>
          <t>JÖNKÖPINGS LÄN</t>
        </is>
      </c>
      <c r="G278" t="inlineStr">
        <is>
          <t>NÄSSJÖ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46320</v>
      </c>
      <c r="F279" t="inlineStr">
        <is>
          <t>JÖNKÖPINGS LÄN</t>
        </is>
      </c>
      <c r="G279" t="inlineStr">
        <is>
          <t>NÄSSJÖ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46320</v>
      </c>
      <c r="F280" t="inlineStr">
        <is>
          <t>JÖNKÖPINGS LÄN</t>
        </is>
      </c>
      <c r="G280" t="inlineStr">
        <is>
          <t>NÄSSJÖ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46320</v>
      </c>
      <c r="F281" t="inlineStr">
        <is>
          <t>JÖNKÖPINGS LÄN</t>
        </is>
      </c>
      <c r="G281" t="inlineStr">
        <is>
          <t>NÄSSJÖ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46320</v>
      </c>
      <c r="F282" t="inlineStr">
        <is>
          <t>JÖNKÖPINGS LÄN</t>
        </is>
      </c>
      <c r="G282" t="inlineStr">
        <is>
          <t>NÄSSJÖ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46320</v>
      </c>
      <c r="F283" t="inlineStr">
        <is>
          <t>JÖNKÖPINGS LÄN</t>
        </is>
      </c>
      <c r="G283" t="inlineStr">
        <is>
          <t>NÄSSJÖ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46320</v>
      </c>
      <c r="F284" t="inlineStr">
        <is>
          <t>JÖNKÖPINGS LÄN</t>
        </is>
      </c>
      <c r="G284" t="inlineStr">
        <is>
          <t>NÄSSJÖ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46320</v>
      </c>
      <c r="F285" t="inlineStr">
        <is>
          <t>JÖNKÖPINGS LÄN</t>
        </is>
      </c>
      <c r="G285" t="inlineStr">
        <is>
          <t>NÄSSJÖ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46320</v>
      </c>
      <c r="F286" t="inlineStr">
        <is>
          <t>JÖNKÖPINGS LÄN</t>
        </is>
      </c>
      <c r="G286" t="inlineStr">
        <is>
          <t>NÄSSJÖ</t>
        </is>
      </c>
      <c r="H286" t="inlineStr">
        <is>
          <t>Kyrkan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46320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46320</v>
      </c>
      <c r="F288" t="inlineStr">
        <is>
          <t>JÖNKÖPINGS LÄN</t>
        </is>
      </c>
      <c r="G288" t="inlineStr">
        <is>
          <t>NÄSSJÖ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46320</v>
      </c>
      <c r="F289" t="inlineStr">
        <is>
          <t>JÖNKÖPINGS LÄN</t>
        </is>
      </c>
      <c r="G289" t="inlineStr">
        <is>
          <t>NÄSSJÖ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46320</v>
      </c>
      <c r="F290" t="inlineStr">
        <is>
          <t>JÖNKÖPINGS LÄN</t>
        </is>
      </c>
      <c r="G290" t="inlineStr">
        <is>
          <t>NÄSSJÖ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46320</v>
      </c>
      <c r="F291" t="inlineStr">
        <is>
          <t>JÖNKÖPINGS LÄN</t>
        </is>
      </c>
      <c r="G291" t="inlineStr">
        <is>
          <t>NÄSSJÖ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46057</v>
      </c>
      <c r="E292" s="1" t="n">
        <v>46320</v>
      </c>
      <c r="F292" t="inlineStr">
        <is>
          <t>JÖNKÖPINGS LÄN</t>
        </is>
      </c>
      <c r="G292" t="inlineStr">
        <is>
          <t>NÄSSJÖ</t>
        </is>
      </c>
      <c r="H292" t="inlineStr">
        <is>
          <t>Övriga Aktiebolag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7553-2026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46320</v>
      </c>
      <c r="F293" t="inlineStr">
        <is>
          <t>JÖNKÖPINGS LÄN</t>
        </is>
      </c>
      <c r="G293" t="inlineStr">
        <is>
          <t>NÄSSJÖ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46320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46320</v>
      </c>
      <c r="F295" t="inlineStr">
        <is>
          <t>JÖNKÖPINGS LÄN</t>
        </is>
      </c>
      <c r="G295" t="inlineStr">
        <is>
          <t>NÄSSJÖ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46320</v>
      </c>
      <c r="F296" t="inlineStr">
        <is>
          <t>JÖNKÖPINGS LÄN</t>
        </is>
      </c>
      <c r="G296" t="inlineStr">
        <is>
          <t>NÄSSJÖ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45818</v>
      </c>
      <c r="E297" s="1" t="n">
        <v>46320</v>
      </c>
      <c r="F297" t="inlineStr">
        <is>
          <t>JÖNKÖPINGS LÄN</t>
        </is>
      </c>
      <c r="G297" t="inlineStr">
        <is>
          <t>NÄSSJÖ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46294</v>
      </c>
      <c r="E298" s="1" t="n">
        <v>46320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46294</v>
      </c>
      <c r="E299" s="1" t="n">
        <v>46320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46070</v>
      </c>
      <c r="E300" s="1" t="n">
        <v>46320</v>
      </c>
      <c r="F300" t="inlineStr">
        <is>
          <t>JÖNKÖPINGS LÄN</t>
        </is>
      </c>
      <c r="G300" t="inlineStr">
        <is>
          <t>NÄSSJÖ</t>
        </is>
      </c>
      <c r="H300" t="inlineStr">
        <is>
          <t>Kyrkan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46320</v>
      </c>
      <c r="F301" t="inlineStr">
        <is>
          <t>JÖNKÖPINGS LÄN</t>
        </is>
      </c>
      <c r="G301" t="inlineStr">
        <is>
          <t>NÄSSJÖ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28271-2025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46320</v>
      </c>
      <c r="F302" t="inlineStr">
        <is>
          <t>JÖNKÖPINGS LÄN</t>
        </is>
      </c>
      <c r="G302" t="inlineStr">
        <is>
          <t>NÄSSJÖ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44946</v>
      </c>
      <c r="E303" s="1" t="n">
        <v>46320</v>
      </c>
      <c r="F303" t="inlineStr">
        <is>
          <t>JÖNKÖPINGS LÄN</t>
        </is>
      </c>
      <c r="G303" t="inlineStr">
        <is>
          <t>NÄSSJÖ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46294</v>
      </c>
      <c r="E304" s="1" t="n">
        <v>46320</v>
      </c>
      <c r="F304" t="inlineStr">
        <is>
          <t>JÖNKÖPINGS LÄN</t>
        </is>
      </c>
      <c r="G304" t="inlineStr">
        <is>
          <t>NÄSSJÖ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46320</v>
      </c>
      <c r="F305" t="inlineStr">
        <is>
          <t>JÖNKÖPINGS LÄN</t>
        </is>
      </c>
      <c r="G305" t="inlineStr">
        <is>
          <t>NÄSSJÖ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46320</v>
      </c>
      <c r="F306" t="inlineStr">
        <is>
          <t>JÖNKÖPINGS LÄN</t>
        </is>
      </c>
      <c r="G306" t="inlineStr">
        <is>
          <t>NÄSSJÖ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46320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46320</v>
      </c>
      <c r="F308" t="inlineStr">
        <is>
          <t>JÖNKÖPINGS LÄN</t>
        </is>
      </c>
      <c r="G308" t="inlineStr">
        <is>
          <t>NÄSSJÖ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46320</v>
      </c>
      <c r="F309" t="inlineStr">
        <is>
          <t>JÖNKÖPINGS LÄN</t>
        </is>
      </c>
      <c r="G309" t="inlineStr">
        <is>
          <t>NÄSSJÖ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46074</v>
      </c>
      <c r="E310" s="1" t="n">
        <v>46320</v>
      </c>
      <c r="F310" t="inlineStr">
        <is>
          <t>JÖNKÖPINGS LÄN</t>
        </is>
      </c>
      <c r="G310" t="inlineStr">
        <is>
          <t>NÄSSJÖ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46320</v>
      </c>
      <c r="F311" t="inlineStr">
        <is>
          <t>JÖNKÖPINGS LÄN</t>
        </is>
      </c>
      <c r="G311" t="inlineStr">
        <is>
          <t>NÄSSJÖ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45824</v>
      </c>
      <c r="E312" s="1" t="n">
        <v>46320</v>
      </c>
      <c r="F312" t="inlineStr">
        <is>
          <t>JÖNKÖPINGS LÄN</t>
        </is>
      </c>
      <c r="G312" t="inlineStr">
        <is>
          <t>NÄSSJÖ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46320</v>
      </c>
      <c r="F313" t="inlineStr">
        <is>
          <t>JÖNKÖPINGS LÄN</t>
        </is>
      </c>
      <c r="G313" t="inlineStr">
        <is>
          <t>NÄSSJÖ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46295</v>
      </c>
      <c r="E314" s="1" t="n">
        <v>46320</v>
      </c>
      <c r="F314" t="inlineStr">
        <is>
          <t>JÖNKÖPINGS LÄN</t>
        </is>
      </c>
      <c r="G314" t="inlineStr">
        <is>
          <t>NÄSSJÖ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46249</v>
      </c>
      <c r="E315" s="1" t="n">
        <v>46320</v>
      </c>
      <c r="F315" t="inlineStr">
        <is>
          <t>JÖNKÖPINGS LÄN</t>
        </is>
      </c>
      <c r="G315" t="inlineStr">
        <is>
          <t>NÄSSJÖ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11117-2026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46079</v>
      </c>
      <c r="E316" s="1" t="n">
        <v>46320</v>
      </c>
      <c r="F316" t="inlineStr">
        <is>
          <t>JÖNKÖPINGS LÄN</t>
        </is>
      </c>
      <c r="G316" t="inlineStr">
        <is>
          <t>NÄSSJÖ</t>
        </is>
      </c>
      <c r="H316" t="inlineStr">
        <is>
          <t>Kyrkan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40539-2026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46295</v>
      </c>
      <c r="E317" s="1" t="n">
        <v>46320</v>
      </c>
      <c r="F317" t="inlineStr">
        <is>
          <t>JÖNKÖPINGS LÄN</t>
        </is>
      </c>
      <c r="G317" t="inlineStr">
        <is>
          <t>NÄSSJÖ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40545-2026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46295</v>
      </c>
      <c r="E318" s="1" t="n">
        <v>46320</v>
      </c>
      <c r="F318" t="inlineStr">
        <is>
          <t>JÖNKÖPINGS LÄN</t>
        </is>
      </c>
      <c r="G318" t="inlineStr">
        <is>
          <t>NÄSSJÖ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40543-2026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46295</v>
      </c>
      <c r="E319" s="1" t="n">
        <v>46320</v>
      </c>
      <c r="F319" t="inlineStr">
        <is>
          <t>JÖNKÖPINGS LÄN</t>
        </is>
      </c>
      <c r="G319" t="inlineStr">
        <is>
          <t>NÄSSJÖ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46320</v>
      </c>
      <c r="F320" t="inlineStr">
        <is>
          <t>JÖNKÖPINGS LÄN</t>
        </is>
      </c>
      <c r="G320" t="inlineStr">
        <is>
          <t>NÄSSJÖ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46320</v>
      </c>
      <c r="F321" t="inlineStr">
        <is>
          <t>JÖNKÖPINGS LÄN</t>
        </is>
      </c>
      <c r="G321" t="inlineStr">
        <is>
          <t>NÄSSJÖ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45794</v>
      </c>
      <c r="E322" s="1" t="n">
        <v>46320</v>
      </c>
      <c r="F322" t="inlineStr">
        <is>
          <t>JÖNKÖPINGS LÄN</t>
        </is>
      </c>
      <c r="G322" t="inlineStr">
        <is>
          <t>NÄSSJÖ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46320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12652-2026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46091</v>
      </c>
      <c r="E324" s="1" t="n">
        <v>46320</v>
      </c>
      <c r="F324" t="inlineStr">
        <is>
          <t>JÖNKÖPINGS LÄN</t>
        </is>
      </c>
      <c r="G324" t="inlineStr">
        <is>
          <t>NÄSSJÖ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46320</v>
      </c>
      <c r="F325" t="inlineStr">
        <is>
          <t>JÖNKÖPINGS LÄN</t>
        </is>
      </c>
      <c r="G325" t="inlineStr">
        <is>
          <t>NÄSSJÖ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46320</v>
      </c>
      <c r="F326" t="inlineStr">
        <is>
          <t>JÖNKÖPINGS LÄN</t>
        </is>
      </c>
      <c r="G326" t="inlineStr">
        <is>
          <t>NÄSSJÖ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46320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29836-2024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46320</v>
      </c>
      <c r="F328" t="inlineStr">
        <is>
          <t>JÖNKÖPINGS LÄN</t>
        </is>
      </c>
      <c r="G328" t="inlineStr">
        <is>
          <t>NÄSSJÖ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46098</v>
      </c>
      <c r="E329" s="1" t="n">
        <v>46320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46320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33422-2025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46320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46320</v>
      </c>
      <c r="F332" t="inlineStr">
        <is>
          <t>JÖNKÖPINGS LÄN</t>
        </is>
      </c>
      <c r="G332" t="inlineStr">
        <is>
          <t>NÄSSJÖ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46254</v>
      </c>
      <c r="E333" s="1" t="n">
        <v>46320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46320</v>
      </c>
      <c r="F334" t="inlineStr">
        <is>
          <t>JÖNKÖPINGS LÄN</t>
        </is>
      </c>
      <c r="G334" t="inlineStr">
        <is>
          <t>NÄSSJÖ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45843</v>
      </c>
      <c r="E335" s="1" t="n">
        <v>46320</v>
      </c>
      <c r="F335" t="inlineStr">
        <is>
          <t>JÖNKÖPINGS LÄN</t>
        </is>
      </c>
      <c r="G335" t="inlineStr">
        <is>
          <t>NÄSSJÖ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45843</v>
      </c>
      <c r="E336" s="1" t="n">
        <v>46320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46320</v>
      </c>
      <c r="F337" t="inlineStr">
        <is>
          <t>JÖNKÖPINGS LÄN</t>
        </is>
      </c>
      <c r="G337" t="inlineStr">
        <is>
          <t>NÄSSJÖ</t>
        </is>
      </c>
      <c r="H337" t="inlineStr">
        <is>
          <t>Kommuner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46100</v>
      </c>
      <c r="E338" s="1" t="n">
        <v>46320</v>
      </c>
      <c r="F338" t="inlineStr">
        <is>
          <t>JÖNKÖPINGS LÄN</t>
        </is>
      </c>
      <c r="G338" t="inlineStr">
        <is>
          <t>NÄSSJÖ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46320</v>
      </c>
      <c r="F339" t="inlineStr">
        <is>
          <t>JÖNKÖPINGS LÄN</t>
        </is>
      </c>
      <c r="G339" t="inlineStr">
        <is>
          <t>NÄSSJÖ</t>
        </is>
      </c>
      <c r="H339" t="inlineStr">
        <is>
          <t>Kommuner</t>
        </is>
      </c>
      <c r="I339" t="n">
        <v>8.5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45843</v>
      </c>
      <c r="E340" s="1" t="n">
        <v>46320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46320</v>
      </c>
      <c r="F341" t="inlineStr">
        <is>
          <t>JÖNKÖPINGS LÄN</t>
        </is>
      </c>
      <c r="G341" t="inlineStr">
        <is>
          <t>NÄSSJÖ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46320</v>
      </c>
      <c r="F342" t="inlineStr">
        <is>
          <t>JÖNKÖPINGS LÄN</t>
        </is>
      </c>
      <c r="G342" t="inlineStr">
        <is>
          <t>NÄSSJÖ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46320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46320</v>
      </c>
      <c r="F344" t="inlineStr">
        <is>
          <t>JÖNKÖPINGS LÄN</t>
        </is>
      </c>
      <c r="G344" t="inlineStr">
        <is>
          <t>NÄSSJÖ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46320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46320</v>
      </c>
      <c r="F346" t="inlineStr">
        <is>
          <t>JÖNKÖPINGS LÄN</t>
        </is>
      </c>
      <c r="G346" t="inlineStr">
        <is>
          <t>NÄSSJÖ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46320</v>
      </c>
      <c r="F347" t="inlineStr">
        <is>
          <t>JÖNKÖPINGS LÄN</t>
        </is>
      </c>
      <c r="G347" t="inlineStr">
        <is>
          <t>NÄSSJÖ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46320</v>
      </c>
      <c r="F348" t="inlineStr">
        <is>
          <t>JÖNKÖPINGS LÄN</t>
        </is>
      </c>
      <c r="G348" t="inlineStr">
        <is>
          <t>NÄSSJÖ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46320</v>
      </c>
      <c r="F349" t="inlineStr">
        <is>
          <t>JÖNKÖPINGS LÄN</t>
        </is>
      </c>
      <c r="G349" t="inlineStr">
        <is>
          <t>NÄSSJÖ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9943-2025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45719</v>
      </c>
      <c r="E350" s="1" t="n">
        <v>46320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46320</v>
      </c>
      <c r="F351" t="inlineStr">
        <is>
          <t>JÖNKÖPINGS LÄN</t>
        </is>
      </c>
      <c r="G351" t="inlineStr">
        <is>
          <t>NÄSSJÖ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46320</v>
      </c>
      <c r="F352" t="inlineStr">
        <is>
          <t>JÖNKÖPINGS LÄN</t>
        </is>
      </c>
      <c r="G352" t="inlineStr">
        <is>
          <t>NÄSSJÖ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46320</v>
      </c>
      <c r="F353" t="inlineStr">
        <is>
          <t>JÖNKÖPINGS LÄN</t>
        </is>
      </c>
      <c r="G353" t="inlineStr">
        <is>
          <t>NÄSSJÖ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35248-2026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46260</v>
      </c>
      <c r="E354" s="1" t="n">
        <v>46320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46120</v>
      </c>
      <c r="E355" s="1" t="n">
        <v>46320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45732</v>
      </c>
      <c r="E356" s="1" t="n">
        <v>46320</v>
      </c>
      <c r="F356" t="inlineStr">
        <is>
          <t>JÖNKÖPINGS LÄN</t>
        </is>
      </c>
      <c r="G356" t="inlineStr">
        <is>
          <t>NÄSSJÖ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46320</v>
      </c>
      <c r="F357" t="inlineStr">
        <is>
          <t>JÖNKÖPINGS LÄN</t>
        </is>
      </c>
      <c r="G357" t="inlineStr">
        <is>
          <t>NÄSSJÖ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46320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46320</v>
      </c>
      <c r="F359" t="inlineStr">
        <is>
          <t>JÖNKÖPINGS LÄN</t>
        </is>
      </c>
      <c r="G359" t="inlineStr">
        <is>
          <t>NÄSSJÖ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46307</v>
      </c>
      <c r="E360" s="1" t="n">
        <v>46320</v>
      </c>
      <c r="F360" t="inlineStr">
        <is>
          <t>JÖNKÖPINGS LÄN</t>
        </is>
      </c>
      <c r="G360" t="inlineStr">
        <is>
          <t>NÄSSJÖ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8988-2025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45713</v>
      </c>
      <c r="E361" s="1" t="n">
        <v>46320</v>
      </c>
      <c r="F361" t="inlineStr">
        <is>
          <t>JÖNKÖPINGS LÄN</t>
        </is>
      </c>
      <c r="G361" t="inlineStr">
        <is>
          <t>NÄSSJÖ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46320</v>
      </c>
      <c r="F362" t="inlineStr">
        <is>
          <t>JÖNKÖPINGS LÄN</t>
        </is>
      </c>
      <c r="G362" t="inlineStr">
        <is>
          <t>NÄSSJÖ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46320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46129</v>
      </c>
      <c r="E364" s="1" t="n">
        <v>46320</v>
      </c>
      <c r="F364" t="inlineStr">
        <is>
          <t>JÖNKÖPINGS LÄN</t>
        </is>
      </c>
      <c r="G364" t="inlineStr">
        <is>
          <t>NÄSSJÖ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37877-2025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45880</v>
      </c>
      <c r="E365" s="1" t="n">
        <v>46320</v>
      </c>
      <c r="F365" t="inlineStr">
        <is>
          <t>JÖNKÖPINGS LÄN</t>
        </is>
      </c>
      <c r="G365" t="inlineStr">
        <is>
          <t>NÄSSJÖ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46320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46320</v>
      </c>
      <c r="F367" t="inlineStr">
        <is>
          <t>JÖNKÖPINGS LÄN</t>
        </is>
      </c>
      <c r="G367" t="inlineStr">
        <is>
          <t>NÄSSJÖ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46135</v>
      </c>
      <c r="E368" s="1" t="n">
        <v>46320</v>
      </c>
      <c r="F368" t="inlineStr">
        <is>
          <t>JÖNKÖPINGS LÄN</t>
        </is>
      </c>
      <c r="G368" t="inlineStr">
        <is>
          <t>NÄSSJÖ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46135</v>
      </c>
      <c r="E369" s="1" t="n">
        <v>46320</v>
      </c>
      <c r="F369" t="inlineStr">
        <is>
          <t>JÖNKÖPINGS LÄN</t>
        </is>
      </c>
      <c r="G369" t="inlineStr">
        <is>
          <t>NÄSSJÖ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45671</v>
      </c>
      <c r="E370" s="1" t="n">
        <v>46320</v>
      </c>
      <c r="F370" t="inlineStr">
        <is>
          <t>JÖNKÖPINGS LÄN</t>
        </is>
      </c>
      <c r="G370" t="inlineStr">
        <is>
          <t>NÄSSJÖ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46320</v>
      </c>
      <c r="F371" t="inlineStr">
        <is>
          <t>JÖNKÖPINGS LÄN</t>
        </is>
      </c>
      <c r="G371" t="inlineStr">
        <is>
          <t>NÄSSJÖ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45887</v>
      </c>
      <c r="E372" s="1" t="n">
        <v>46320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46320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46320</v>
      </c>
      <c r="F374" t="inlineStr">
        <is>
          <t>JÖNKÖPINGS LÄN</t>
        </is>
      </c>
      <c r="G374" t="inlineStr">
        <is>
          <t>NÄSSJÖ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46320</v>
      </c>
      <c r="F375" t="inlineStr">
        <is>
          <t>JÖNKÖPINGS LÄN</t>
        </is>
      </c>
      <c r="G375" t="inlineStr">
        <is>
          <t>NÄSSJÖ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46309</v>
      </c>
      <c r="E376" s="1" t="n">
        <v>46320</v>
      </c>
      <c r="F376" t="inlineStr">
        <is>
          <t>JÖNKÖPINGS LÄN</t>
        </is>
      </c>
      <c r="G376" t="inlineStr">
        <is>
          <t>NÄSSJÖ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46320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46320</v>
      </c>
      <c r="F378" t="inlineStr">
        <is>
          <t>JÖNKÖPINGS LÄN</t>
        </is>
      </c>
      <c r="G378" t="inlineStr">
        <is>
          <t>NÄSSJÖ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46320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44902</v>
      </c>
      <c r="E380" s="1" t="n">
        <v>46320</v>
      </c>
      <c r="F380" t="inlineStr">
        <is>
          <t>JÖNKÖPINGS LÄN</t>
        </is>
      </c>
      <c r="G380" t="inlineStr">
        <is>
          <t>NÄSSJÖ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46320</v>
      </c>
      <c r="F381" t="inlineStr">
        <is>
          <t>JÖNKÖPINGS LÄN</t>
        </is>
      </c>
      <c r="G381" t="inlineStr">
        <is>
          <t>NÄSSJÖ</t>
        </is>
      </c>
      <c r="H381" t="inlineStr">
        <is>
          <t>Kyrkan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46314</v>
      </c>
      <c r="E382" s="1" t="n">
        <v>46320</v>
      </c>
      <c r="F382" t="inlineStr">
        <is>
          <t>JÖNKÖPINGS LÄN</t>
        </is>
      </c>
      <c r="G382" t="inlineStr">
        <is>
          <t>NÄSSJÖ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46320</v>
      </c>
      <c r="F383" t="inlineStr">
        <is>
          <t>JÖNKÖPINGS LÄN</t>
        </is>
      </c>
      <c r="G383" t="inlineStr">
        <is>
          <t>NÄSSJÖ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46320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16775-2023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45031</v>
      </c>
      <c r="E385" s="1" t="n">
        <v>46320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46320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45419</v>
      </c>
      <c r="E387" s="1" t="n">
        <v>46320</v>
      </c>
      <c r="F387" t="inlineStr">
        <is>
          <t>JÖNKÖPINGS LÄN</t>
        </is>
      </c>
      <c r="G387" t="inlineStr">
        <is>
          <t>NÄSSJÖ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44928</v>
      </c>
      <c r="E388" s="1" t="n">
        <v>46320</v>
      </c>
      <c r="F388" t="inlineStr">
        <is>
          <t>JÖNKÖPINGS LÄN</t>
        </is>
      </c>
      <c r="G388" t="inlineStr">
        <is>
          <t>NÄSSJÖ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45212</v>
      </c>
      <c r="E389" s="1" t="n">
        <v>46320</v>
      </c>
      <c r="F389" t="inlineStr">
        <is>
          <t>JÖNKÖPINGS LÄN</t>
        </is>
      </c>
      <c r="G389" t="inlineStr">
        <is>
          <t>NÄSSJÖ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49666-2023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45212</v>
      </c>
      <c r="E390" s="1" t="n">
        <v>46320</v>
      </c>
      <c r="F390" t="inlineStr">
        <is>
          <t>JÖNKÖPINGS LÄN</t>
        </is>
      </c>
      <c r="G390" t="inlineStr">
        <is>
          <t>NÄSSJÖ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46320</v>
      </c>
      <c r="F391" t="inlineStr">
        <is>
          <t>JÖNKÖPINGS LÄN</t>
        </is>
      </c>
      <c r="G391" t="inlineStr">
        <is>
          <t>NÄSSJÖ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46315</v>
      </c>
      <c r="E392" s="1" t="n">
        <v>46320</v>
      </c>
      <c r="F392" t="inlineStr">
        <is>
          <t>JÖNKÖPINGS LÄN</t>
        </is>
      </c>
      <c r="G392" t="inlineStr">
        <is>
          <t>NÄSSJÖ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45694</v>
      </c>
      <c r="E393" s="1" t="n">
        <v>46320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44400-2024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45573</v>
      </c>
      <c r="E394" s="1" t="n">
        <v>46320</v>
      </c>
      <c r="F394" t="inlineStr">
        <is>
          <t>JÖNKÖPINGS LÄN</t>
        </is>
      </c>
      <c r="G394" t="inlineStr">
        <is>
          <t>NÄSSJÖ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45372</v>
      </c>
      <c r="E395" s="1" t="n">
        <v>46320</v>
      </c>
      <c r="F395" t="inlineStr">
        <is>
          <t>JÖNKÖPINGS LÄN</t>
        </is>
      </c>
      <c r="G395" t="inlineStr">
        <is>
          <t>NÄSSJÖ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7654-2023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46320</v>
      </c>
      <c r="F396" t="inlineStr">
        <is>
          <t>JÖNKÖPINGS LÄN</t>
        </is>
      </c>
      <c r="G396" t="inlineStr">
        <is>
          <t>NÄSSJÖ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46320</v>
      </c>
      <c r="F397" t="inlineStr">
        <is>
          <t>JÖNKÖPINGS LÄN</t>
        </is>
      </c>
      <c r="G397" t="inlineStr">
        <is>
          <t>NÄSSJÖ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44436-2025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46320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44617</v>
      </c>
      <c r="E399" s="1" t="n">
        <v>46320</v>
      </c>
      <c r="F399" t="inlineStr">
        <is>
          <t>JÖNKÖPINGS LÄN</t>
        </is>
      </c>
      <c r="G399" t="inlineStr">
        <is>
          <t>NÄSSJÖ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46140</v>
      </c>
      <c r="E400" s="1" t="n">
        <v>46320</v>
      </c>
      <c r="F400" t="inlineStr">
        <is>
          <t>JÖNKÖPINGS LÄN</t>
        </is>
      </c>
      <c r="G400" t="inlineStr">
        <is>
          <t>NÄSSJÖ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63896-2025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46020</v>
      </c>
      <c r="E401" s="1" t="n">
        <v>46320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46320</v>
      </c>
      <c r="F402" t="inlineStr">
        <is>
          <t>JÖNKÖPINGS LÄN</t>
        </is>
      </c>
      <c r="G402" t="inlineStr">
        <is>
          <t>NÄSSJÖ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46317</v>
      </c>
      <c r="E403" s="1" t="n">
        <v>46320</v>
      </c>
      <c r="F403" t="inlineStr">
        <is>
          <t>JÖNKÖPINGS LÄN</t>
        </is>
      </c>
      <c r="G403" t="inlineStr">
        <is>
          <t>NÄSSJÖ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49880-2023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45213</v>
      </c>
      <c r="E404" s="1" t="n">
        <v>46320</v>
      </c>
      <c r="F404" t="inlineStr">
        <is>
          <t>JÖNKÖPINGS LÄN</t>
        </is>
      </c>
      <c r="G404" t="inlineStr">
        <is>
          <t>NÄSSJÖ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46320</v>
      </c>
      <c r="F405" t="inlineStr">
        <is>
          <t>JÖNKÖPINGS LÄN</t>
        </is>
      </c>
      <c r="G405" t="inlineStr">
        <is>
          <t>NÄSSJÖ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46320</v>
      </c>
      <c r="F406" t="inlineStr">
        <is>
          <t>JÖNKÖPINGS LÄN</t>
        </is>
      </c>
      <c r="G406" t="inlineStr">
        <is>
          <t>NÄSSJÖ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45181</v>
      </c>
      <c r="E407" s="1" t="n">
        <v>46320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48890-2023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45209</v>
      </c>
      <c r="E408" s="1" t="n">
        <v>46320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39211-2026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46287</v>
      </c>
      <c r="E409" s="1" t="n">
        <v>46320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46320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46320</v>
      </c>
      <c r="F411" t="inlineStr">
        <is>
          <t>JÖNKÖPINGS LÄN</t>
        </is>
      </c>
      <c r="G411" t="inlineStr">
        <is>
          <t>NÄSSJÖ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46320</v>
      </c>
      <c r="F412" t="inlineStr">
        <is>
          <t>JÖNKÖPINGS LÄN</t>
        </is>
      </c>
      <c r="G412" t="inlineStr">
        <is>
          <t>NÄSSJÖ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45398</v>
      </c>
      <c r="E413" s="1" t="n">
        <v>46320</v>
      </c>
      <c r="F413" t="inlineStr">
        <is>
          <t>JÖNKÖPINGS LÄN</t>
        </is>
      </c>
      <c r="G413" t="inlineStr">
        <is>
          <t>NÄSSJÖ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44945</v>
      </c>
      <c r="E414" s="1" t="n">
        <v>46320</v>
      </c>
      <c r="F414" t="inlineStr">
        <is>
          <t>JÖNKÖPINGS LÄN</t>
        </is>
      </c>
      <c r="G414" t="inlineStr">
        <is>
          <t>NÄSSJÖ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30659-2023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45112</v>
      </c>
      <c r="E415" s="1" t="n">
        <v>46320</v>
      </c>
      <c r="F415" t="inlineStr">
        <is>
          <t>JÖNKÖPINGS LÄN</t>
        </is>
      </c>
      <c r="G415" t="inlineStr">
        <is>
          <t>NÄSSJÖ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46320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46320</v>
      </c>
      <c r="F417" t="inlineStr">
        <is>
          <t>JÖNKÖPINGS LÄN</t>
        </is>
      </c>
      <c r="G417" t="inlineStr">
        <is>
          <t>NÄSSJÖ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46320</v>
      </c>
      <c r="F418" t="inlineStr">
        <is>
          <t>JÖNKÖPINGS LÄN</t>
        </is>
      </c>
      <c r="G418" t="inlineStr">
        <is>
          <t>NÄSSJÖ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45742</v>
      </c>
      <c r="E419" s="1" t="n">
        <v>46320</v>
      </c>
      <c r="F419" t="inlineStr">
        <is>
          <t>JÖNKÖPINGS LÄN</t>
        </is>
      </c>
      <c r="G419" t="inlineStr">
        <is>
          <t>NÄSSJÖ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45041</v>
      </c>
      <c r="E420" s="1" t="n">
        <v>46320</v>
      </c>
      <c r="F420" t="inlineStr">
        <is>
          <t>JÖNKÖPINGS LÄN</t>
        </is>
      </c>
      <c r="G420" t="inlineStr">
        <is>
          <t>NÄSSJÖ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46320</v>
      </c>
      <c r="F421" t="inlineStr">
        <is>
          <t>JÖNKÖPINGS LÄN</t>
        </is>
      </c>
      <c r="G421" t="inlineStr">
        <is>
          <t>NÄSSJÖ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46320</v>
      </c>
      <c r="F422" t="inlineStr">
        <is>
          <t>JÖNKÖPINGS LÄN</t>
        </is>
      </c>
      <c r="G422" t="inlineStr">
        <is>
          <t>NÄSSJÖ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46320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46320</v>
      </c>
      <c r="F424" t="inlineStr">
        <is>
          <t>JÖNKÖPINGS LÄN</t>
        </is>
      </c>
      <c r="G424" t="inlineStr">
        <is>
          <t>NÄSSJÖ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59167-2024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46320</v>
      </c>
      <c r="F425" t="inlineStr">
        <is>
          <t>JÖNKÖPINGS LÄN</t>
        </is>
      </c>
      <c r="G425" t="inlineStr">
        <is>
          <t>NÄSSJÖ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14832-2023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46320</v>
      </c>
      <c r="F426" t="inlineStr">
        <is>
          <t>JÖNKÖPINGS LÄN</t>
        </is>
      </c>
      <c r="G426" t="inlineStr">
        <is>
          <t>NÄSSJÖ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45631</v>
      </c>
      <c r="E427" s="1" t="n">
        <v>46320</v>
      </c>
      <c r="F427" t="inlineStr">
        <is>
          <t>JÖNKÖPINGS LÄN</t>
        </is>
      </c>
      <c r="G427" t="inlineStr">
        <is>
          <t>NÄSSJÖ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45702</v>
      </c>
      <c r="E428" s="1" t="n">
        <v>46320</v>
      </c>
      <c r="F428" t="inlineStr">
        <is>
          <t>JÖNKÖPINGS LÄN</t>
        </is>
      </c>
      <c r="G428" t="inlineStr">
        <is>
          <t>NÄSSJÖ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46320</v>
      </c>
      <c r="F429" t="inlineStr">
        <is>
          <t>JÖNKÖPINGS LÄN</t>
        </is>
      </c>
      <c r="G429" t="inlineStr">
        <is>
          <t>NÄSSJÖ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46320</v>
      </c>
      <c r="F430" t="inlineStr">
        <is>
          <t>JÖNKÖPINGS LÄN</t>
        </is>
      </c>
      <c r="G430" t="inlineStr">
        <is>
          <t>NÄSSJÖ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36945-2023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46320</v>
      </c>
      <c r="F431" t="inlineStr">
        <is>
          <t>JÖNKÖPINGS LÄN</t>
        </is>
      </c>
      <c r="G431" t="inlineStr">
        <is>
          <t>NÄSSJÖ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46320</v>
      </c>
      <c r="F432" t="inlineStr">
        <is>
          <t>JÖNKÖPINGS LÄN</t>
        </is>
      </c>
      <c r="G432" t="inlineStr">
        <is>
          <t>NÄSSJÖ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44974</v>
      </c>
      <c r="E433" s="1" t="n">
        <v>46320</v>
      </c>
      <c r="F433" t="inlineStr">
        <is>
          <t>JÖNKÖPINGS LÄN</t>
        </is>
      </c>
      <c r="G433" t="inlineStr">
        <is>
          <t>NÄSSJÖ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46320</v>
      </c>
      <c r="F434" t="inlineStr">
        <is>
          <t>JÖNKÖPINGS LÄN</t>
        </is>
      </c>
      <c r="G434" t="inlineStr">
        <is>
          <t>NÄSSJÖ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45694</v>
      </c>
      <c r="E435" s="1" t="n">
        <v>46320</v>
      </c>
      <c r="F435" t="inlineStr">
        <is>
          <t>JÖNKÖPINGS LÄN</t>
        </is>
      </c>
      <c r="G435" t="inlineStr">
        <is>
          <t>NÄSSJÖ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45198</v>
      </c>
      <c r="E436" s="1" t="n">
        <v>46320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44826</v>
      </c>
      <c r="E437" s="1" t="n">
        <v>46320</v>
      </c>
      <c r="F437" t="inlineStr">
        <is>
          <t>JÖNKÖPINGS LÄN</t>
        </is>
      </c>
      <c r="G437" t="inlineStr">
        <is>
          <t>NÄSSJÖ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35811-2023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45148</v>
      </c>
      <c r="E438" s="1" t="n">
        <v>46320</v>
      </c>
      <c r="F438" t="inlineStr">
        <is>
          <t>JÖNKÖPINGS LÄN</t>
        </is>
      </c>
      <c r="G438" t="inlineStr">
        <is>
          <t>NÄSSJÖ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46320</v>
      </c>
      <c r="F439" t="inlineStr">
        <is>
          <t>JÖNKÖPINGS LÄN</t>
        </is>
      </c>
      <c r="G439" t="inlineStr">
        <is>
          <t>NÄSSJÖ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36604-2022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44804</v>
      </c>
      <c r="E440" s="1" t="n">
        <v>46320</v>
      </c>
      <c r="F440" t="inlineStr">
        <is>
          <t>JÖNKÖPINGS LÄN</t>
        </is>
      </c>
      <c r="G440" t="inlineStr">
        <is>
          <t>NÄSSJÖ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63741-2023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45277</v>
      </c>
      <c r="E441" s="1" t="n">
        <v>46320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46320</v>
      </c>
      <c r="F442" t="inlineStr">
        <is>
          <t>JÖNKÖPINGS LÄN</t>
        </is>
      </c>
      <c r="G442" t="inlineStr">
        <is>
          <t>NÄSSJÖ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45732</v>
      </c>
      <c r="E443" s="1" t="n">
        <v>46320</v>
      </c>
      <c r="F443" t="inlineStr">
        <is>
          <t>JÖNKÖPINGS LÄN</t>
        </is>
      </c>
      <c r="G443" t="inlineStr">
        <is>
          <t>NÄSSJÖ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45670</v>
      </c>
      <c r="E444" s="1" t="n">
        <v>46320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45169</v>
      </c>
      <c r="E445" s="1" t="n">
        <v>46320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45077</v>
      </c>
      <c r="E446" s="1" t="n">
        <v>46320</v>
      </c>
      <c r="F446" t="inlineStr">
        <is>
          <t>JÖNKÖPINGS LÄN</t>
        </is>
      </c>
      <c r="G446" t="inlineStr">
        <is>
          <t>NÄSSJÖ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24577-2023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45083</v>
      </c>
      <c r="E447" s="1" t="n">
        <v>46320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45069</v>
      </c>
      <c r="E448" s="1" t="n">
        <v>46320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46320</v>
      </c>
      <c r="F449" t="inlineStr">
        <is>
          <t>JÖNKÖPINGS LÄN</t>
        </is>
      </c>
      <c r="G449" t="inlineStr">
        <is>
          <t>NÄSSJÖ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29006-2024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45481</v>
      </c>
      <c r="E450" s="1" t="n">
        <v>46320</v>
      </c>
      <c r="F450" t="inlineStr">
        <is>
          <t>JÖNKÖPINGS LÄN</t>
        </is>
      </c>
      <c r="G450" t="inlineStr">
        <is>
          <t>NÄSSJÖ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41324-2022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44826</v>
      </c>
      <c r="E451" s="1" t="n">
        <v>46320</v>
      </c>
      <c r="F451" t="inlineStr">
        <is>
          <t>JÖNKÖPINGS LÄN</t>
        </is>
      </c>
      <c r="G451" t="inlineStr">
        <is>
          <t>NÄSSJÖ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45163</v>
      </c>
      <c r="E452" s="1" t="n">
        <v>46320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17391-2025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46320</v>
      </c>
      <c r="F453" t="inlineStr">
        <is>
          <t>JÖNKÖPINGS LÄN</t>
        </is>
      </c>
      <c r="G453" t="inlineStr">
        <is>
          <t>NÄSSJÖ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63635-2023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45275</v>
      </c>
      <c r="E454" s="1" t="n">
        <v>46320</v>
      </c>
      <c r="F454" t="inlineStr">
        <is>
          <t>JÖNKÖPINGS LÄN</t>
        </is>
      </c>
      <c r="G454" t="inlineStr">
        <is>
          <t>NÄSSJÖ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45732</v>
      </c>
      <c r="E455" s="1" t="n">
        <v>46320</v>
      </c>
      <c r="F455" t="inlineStr">
        <is>
          <t>JÖNKÖPINGS LÄN</t>
        </is>
      </c>
      <c r="G455" t="inlineStr">
        <is>
          <t>NÄSSJÖ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44608</v>
      </c>
      <c r="E456" s="1" t="n">
        <v>46320</v>
      </c>
      <c r="F456" t="inlineStr">
        <is>
          <t>JÖNKÖPINGS LÄN</t>
        </is>
      </c>
      <c r="G456" t="inlineStr">
        <is>
          <t>NÄSSJÖ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46320</v>
      </c>
      <c r="F457" t="inlineStr">
        <is>
          <t>JÖNKÖPINGS LÄN</t>
        </is>
      </c>
      <c r="G457" t="inlineStr">
        <is>
          <t>NÄSSJÖ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44928</v>
      </c>
      <c r="E458" s="1" t="n">
        <v>46320</v>
      </c>
      <c r="F458" t="inlineStr">
        <is>
          <t>JÖNKÖPINGS LÄN</t>
        </is>
      </c>
      <c r="G458" t="inlineStr">
        <is>
          <t>NÄSSJÖ</t>
        </is>
      </c>
      <c r="I458" t="n">
        <v>13.7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44928</v>
      </c>
      <c r="E459" s="1" t="n">
        <v>46320</v>
      </c>
      <c r="F459" t="inlineStr">
        <is>
          <t>JÖNKÖPINGS LÄN</t>
        </is>
      </c>
      <c r="G459" t="inlineStr">
        <is>
          <t>NÄSSJÖ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12595-2024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45380</v>
      </c>
      <c r="E460" s="1" t="n">
        <v>46320</v>
      </c>
      <c r="F460" t="inlineStr">
        <is>
          <t>JÖNKÖPINGS LÄN</t>
        </is>
      </c>
      <c r="G460" t="inlineStr">
        <is>
          <t>NÄSSJÖ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15862-2022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44664</v>
      </c>
      <c r="E461" s="1" t="n">
        <v>46320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45109</v>
      </c>
      <c r="E462" s="1" t="n">
        <v>46320</v>
      </c>
      <c r="F462" t="inlineStr">
        <is>
          <t>JÖNKÖPINGS LÄN</t>
        </is>
      </c>
      <c r="G462" t="inlineStr">
        <is>
          <t>NÄSSJÖ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45732</v>
      </c>
      <c r="E463" s="1" t="n">
        <v>46320</v>
      </c>
      <c r="F463" t="inlineStr">
        <is>
          <t>JÖNKÖPINGS LÄN</t>
        </is>
      </c>
      <c r="G463" t="inlineStr">
        <is>
          <t>NÄSSJÖ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45391</v>
      </c>
      <c r="E464" s="1" t="n">
        <v>46320</v>
      </c>
      <c r="F464" t="inlineStr">
        <is>
          <t>JÖNKÖPINGS LÄN</t>
        </is>
      </c>
      <c r="G464" t="inlineStr">
        <is>
          <t>NÄSSJÖ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45391</v>
      </c>
      <c r="E465" s="1" t="n">
        <v>46320</v>
      </c>
      <c r="F465" t="inlineStr">
        <is>
          <t>JÖNKÖPINGS LÄN</t>
        </is>
      </c>
      <c r="G465" t="inlineStr">
        <is>
          <t>NÄSSJÖ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45013</v>
      </c>
      <c r="E466" s="1" t="n">
        <v>46320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46320</v>
      </c>
      <c r="F467" t="inlineStr">
        <is>
          <t>JÖNKÖPINGS LÄN</t>
        </is>
      </c>
      <c r="G467" t="inlineStr">
        <is>
          <t>NÄSSJÖ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12657-2024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45380</v>
      </c>
      <c r="E468" s="1" t="n">
        <v>46320</v>
      </c>
      <c r="F468" t="inlineStr">
        <is>
          <t>JÖNKÖPINGS LÄN</t>
        </is>
      </c>
      <c r="G468" t="inlineStr">
        <is>
          <t>NÄSSJÖ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15993-2022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44665</v>
      </c>
      <c r="E469" s="1" t="n">
        <v>46320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46320</v>
      </c>
      <c r="F470" t="inlineStr">
        <is>
          <t>JÖNKÖPINGS LÄN</t>
        </is>
      </c>
      <c r="G470" t="inlineStr">
        <is>
          <t>NÄSSJÖ</t>
        </is>
      </c>
      <c r="H470" t="inlineStr">
        <is>
          <t>Kommuner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46320</v>
      </c>
      <c r="F471" t="inlineStr">
        <is>
          <t>JÖNKÖPINGS LÄN</t>
        </is>
      </c>
      <c r="G471" t="inlineStr">
        <is>
          <t>NÄSSJÖ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45277</v>
      </c>
      <c r="E472" s="1" t="n">
        <v>46320</v>
      </c>
      <c r="F472" t="inlineStr">
        <is>
          <t>JÖNKÖPINGS LÄN</t>
        </is>
      </c>
      <c r="G472" t="inlineStr">
        <is>
          <t>NÄSSJÖ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46320</v>
      </c>
      <c r="F473" t="inlineStr">
        <is>
          <t>JÖNKÖPINGS LÄN</t>
        </is>
      </c>
      <c r="G473" t="inlineStr">
        <is>
          <t>NÄSSJÖ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45335</v>
      </c>
      <c r="E474" s="1" t="n">
        <v>46320</v>
      </c>
      <c r="F474" t="inlineStr">
        <is>
          <t>JÖNKÖPINGS LÄN</t>
        </is>
      </c>
      <c r="G474" t="inlineStr">
        <is>
          <t>NÄSSJÖ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46320</v>
      </c>
      <c r="F475" t="inlineStr">
        <is>
          <t>JÖNKÖPINGS LÄN</t>
        </is>
      </c>
      <c r="G475" t="inlineStr">
        <is>
          <t>NÄSSJÖ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46320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44956</v>
      </c>
      <c r="E477" s="1" t="n">
        <v>46320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46320</v>
      </c>
      <c r="F478" t="inlineStr">
        <is>
          <t>JÖNKÖPINGS LÄN</t>
        </is>
      </c>
      <c r="G478" t="inlineStr">
        <is>
          <t>NÄSSJÖ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46320</v>
      </c>
      <c r="F479" t="inlineStr">
        <is>
          <t>JÖNKÖPINGS LÄN</t>
        </is>
      </c>
      <c r="G479" t="inlineStr">
        <is>
          <t>NÄSSJÖ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46320</v>
      </c>
      <c r="F480" t="inlineStr">
        <is>
          <t>JÖNKÖPINGS LÄN</t>
        </is>
      </c>
      <c r="G480" t="inlineStr">
        <is>
          <t>NÄSSJÖ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44946</v>
      </c>
      <c r="E481" s="1" t="n">
        <v>46320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45259</v>
      </c>
      <c r="E482" s="1" t="n">
        <v>46320</v>
      </c>
      <c r="F482" t="inlineStr">
        <is>
          <t>JÖNKÖPINGS LÄN</t>
        </is>
      </c>
      <c r="G482" t="inlineStr">
        <is>
          <t>NÄSSJÖ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46320</v>
      </c>
      <c r="F483" t="inlineStr">
        <is>
          <t>JÖNKÖPINGS LÄN</t>
        </is>
      </c>
      <c r="G483" t="inlineStr">
        <is>
          <t>NÄSSJÖ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45590</v>
      </c>
      <c r="E484" s="1" t="n">
        <v>46320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63630-2023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45275</v>
      </c>
      <c r="E485" s="1" t="n">
        <v>46320</v>
      </c>
      <c r="F485" t="inlineStr">
        <is>
          <t>JÖNKÖPINGS LÄN</t>
        </is>
      </c>
      <c r="G485" t="inlineStr">
        <is>
          <t>NÄSSJÖ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46320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29988-2023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45109</v>
      </c>
      <c r="E487" s="1" t="n">
        <v>46320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34377-2023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45132</v>
      </c>
      <c r="E488" s="1" t="n">
        <v>46320</v>
      </c>
      <c r="F488" t="inlineStr">
        <is>
          <t>JÖNKÖPINGS LÄN</t>
        </is>
      </c>
      <c r="G488" t="inlineStr">
        <is>
          <t>NÄSSJÖ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44609</v>
      </c>
      <c r="E489" s="1" t="n">
        <v>46320</v>
      </c>
      <c r="F489" t="inlineStr">
        <is>
          <t>JÖNKÖPINGS LÄN</t>
        </is>
      </c>
      <c r="G489" t="inlineStr">
        <is>
          <t>NÄSSJÖ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39252-2023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45166</v>
      </c>
      <c r="E490" s="1" t="n">
        <v>46320</v>
      </c>
      <c r="F490" t="inlineStr">
        <is>
          <t>JÖNKÖPINGS LÄN</t>
        </is>
      </c>
      <c r="G490" t="inlineStr">
        <is>
          <t>NÄSSJÖ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46320</v>
      </c>
      <c r="F491" t="inlineStr">
        <is>
          <t>JÖNKÖPINGS LÄN</t>
        </is>
      </c>
      <c r="G491" t="inlineStr">
        <is>
          <t>NÄSSJÖ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49662-2023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46320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46320</v>
      </c>
      <c r="F493" t="inlineStr">
        <is>
          <t>JÖNKÖPINGS LÄN</t>
        </is>
      </c>
      <c r="G493" t="inlineStr">
        <is>
          <t>NÄSSJÖ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45648-2024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45579</v>
      </c>
      <c r="E494" s="1" t="n">
        <v>46320</v>
      </c>
      <c r="F494" t="inlineStr">
        <is>
          <t>JÖNKÖPINGS LÄN</t>
        </is>
      </c>
      <c r="G494" t="inlineStr">
        <is>
          <t>NÄSSJÖ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44766-2023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45190</v>
      </c>
      <c r="E495" s="1" t="n">
        <v>46320</v>
      </c>
      <c r="F495" t="inlineStr">
        <is>
          <t>JÖNKÖPINGS LÄN</t>
        </is>
      </c>
      <c r="G495" t="inlineStr">
        <is>
          <t>NÄSSJÖ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22164-2024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46320</v>
      </c>
      <c r="F496" t="inlineStr">
        <is>
          <t>JÖNKÖPINGS LÄN</t>
        </is>
      </c>
      <c r="G496" t="inlineStr">
        <is>
          <t>NÄSSJÖ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14787-2025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45742</v>
      </c>
      <c r="E497" s="1" t="n">
        <v>46320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31172-2024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45503</v>
      </c>
      <c r="E498" s="1" t="n">
        <v>46320</v>
      </c>
      <c r="F498" t="inlineStr">
        <is>
          <t>JÖNKÖPINGS LÄN</t>
        </is>
      </c>
      <c r="G498" t="inlineStr">
        <is>
          <t>NÄSSJÖ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45118</v>
      </c>
      <c r="E499" s="1" t="n">
        <v>46320</v>
      </c>
      <c r="F499" t="inlineStr">
        <is>
          <t>JÖNKÖPINGS LÄN</t>
        </is>
      </c>
      <c r="G499" t="inlineStr">
        <is>
          <t>NÄSSJÖ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45335</v>
      </c>
      <c r="E500" s="1" t="n">
        <v>46320</v>
      </c>
      <c r="F500" t="inlineStr">
        <is>
          <t>JÖNKÖPINGS LÄN</t>
        </is>
      </c>
      <c r="G500" t="inlineStr">
        <is>
          <t>NÄSSJÖ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30412-2023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46320</v>
      </c>
      <c r="F501" t="inlineStr">
        <is>
          <t>JÖNKÖPINGS LÄN</t>
        </is>
      </c>
      <c r="G501" t="inlineStr">
        <is>
          <t>NÄSSJÖ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45210</v>
      </c>
      <c r="E502" s="1" t="n">
        <v>46320</v>
      </c>
      <c r="F502" t="inlineStr">
        <is>
          <t>JÖNKÖPINGS LÄN</t>
        </is>
      </c>
      <c r="G502" t="inlineStr">
        <is>
          <t>NÄSSJÖ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44594</v>
      </c>
      <c r="E503" s="1" t="n">
        <v>46320</v>
      </c>
      <c r="F503" t="inlineStr">
        <is>
          <t>JÖNKÖPINGS LÄN</t>
        </is>
      </c>
      <c r="G503" t="inlineStr">
        <is>
          <t>NÄSSJÖ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45281</v>
      </c>
      <c r="E504" s="1" t="n">
        <v>46320</v>
      </c>
      <c r="F504" t="inlineStr">
        <is>
          <t>JÖNKÖPINGS LÄN</t>
        </is>
      </c>
      <c r="G504" t="inlineStr">
        <is>
          <t>NÄSSJÖ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44988</v>
      </c>
      <c r="E505" s="1" t="n">
        <v>46320</v>
      </c>
      <c r="F505" t="inlineStr">
        <is>
          <t>JÖNKÖPINGS LÄN</t>
        </is>
      </c>
      <c r="G505" t="inlineStr">
        <is>
          <t>NÄSSJÖ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38783-2022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44816</v>
      </c>
      <c r="E506" s="1" t="n">
        <v>46320</v>
      </c>
      <c r="F506" t="inlineStr">
        <is>
          <t>JÖNKÖPINGS LÄN</t>
        </is>
      </c>
      <c r="G506" t="inlineStr">
        <is>
          <t>NÄSSJÖ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46320</v>
      </c>
      <c r="F507" t="inlineStr">
        <is>
          <t>JÖNKÖPINGS LÄN</t>
        </is>
      </c>
      <c r="G507" t="inlineStr">
        <is>
          <t>NÄSSJÖ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39185-2023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45162</v>
      </c>
      <c r="E508" s="1" t="n">
        <v>46320</v>
      </c>
      <c r="F508" t="inlineStr">
        <is>
          <t>JÖNKÖPINGS LÄN</t>
        </is>
      </c>
      <c r="G508" t="inlineStr">
        <is>
          <t>NÄSSJÖ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45372</v>
      </c>
      <c r="E509" s="1" t="n">
        <v>46320</v>
      </c>
      <c r="F509" t="inlineStr">
        <is>
          <t>JÖNKÖPINGS LÄN</t>
        </is>
      </c>
      <c r="G509" t="inlineStr">
        <is>
          <t>NÄSSJÖ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46320</v>
      </c>
      <c r="F510" t="inlineStr">
        <is>
          <t>JÖNKÖPINGS LÄN</t>
        </is>
      </c>
      <c r="G510" t="inlineStr">
        <is>
          <t>NÄSSJÖ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46320</v>
      </c>
      <c r="F511" t="inlineStr">
        <is>
          <t>JÖNKÖPINGS LÄN</t>
        </is>
      </c>
      <c r="G511" t="inlineStr">
        <is>
          <t>NÄSSJÖ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46320</v>
      </c>
      <c r="F512" t="inlineStr">
        <is>
          <t>JÖNKÖPINGS LÄN</t>
        </is>
      </c>
      <c r="G512" t="inlineStr">
        <is>
          <t>NÄSSJÖ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46320</v>
      </c>
      <c r="F513" t="inlineStr">
        <is>
          <t>JÖNKÖPINGS LÄN</t>
        </is>
      </c>
      <c r="G513" t="inlineStr">
        <is>
          <t>NÄSSJÖ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46320</v>
      </c>
      <c r="F514" t="inlineStr">
        <is>
          <t>JÖNKÖPINGS LÄN</t>
        </is>
      </c>
      <c r="G514" t="inlineStr">
        <is>
          <t>NÄSSJÖ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46320</v>
      </c>
      <c r="F515" t="inlineStr">
        <is>
          <t>JÖNKÖPINGS LÄN</t>
        </is>
      </c>
      <c r="G515" t="inlineStr">
        <is>
          <t>NÄSSJÖ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39832-2023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46320</v>
      </c>
      <c r="F516" t="inlineStr">
        <is>
          <t>JÖNKÖPINGS LÄN</t>
        </is>
      </c>
      <c r="G516" t="inlineStr">
        <is>
          <t>NÄSSJÖ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4327-2025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45685</v>
      </c>
      <c r="E517" s="1" t="n">
        <v>46320</v>
      </c>
      <c r="F517" t="inlineStr">
        <is>
          <t>JÖNKÖPINGS LÄN</t>
        </is>
      </c>
      <c r="G517" t="inlineStr">
        <is>
          <t>NÄSSJÖ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45083</v>
      </c>
      <c r="E518" s="1" t="n">
        <v>46320</v>
      </c>
      <c r="F518" t="inlineStr">
        <is>
          <t>JÖNKÖPINGS LÄN</t>
        </is>
      </c>
      <c r="G518" t="inlineStr">
        <is>
          <t>NÄSSJÖ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45702</v>
      </c>
      <c r="E519" s="1" t="n">
        <v>46320</v>
      </c>
      <c r="F519" t="inlineStr">
        <is>
          <t>JÖNKÖPINGS LÄN</t>
        </is>
      </c>
      <c r="G519" t="inlineStr">
        <is>
          <t>NÄSSJÖ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45720</v>
      </c>
      <c r="E520" s="1" t="n">
        <v>46320</v>
      </c>
      <c r="F520" t="inlineStr">
        <is>
          <t>JÖNKÖPINGS LÄN</t>
        </is>
      </c>
      <c r="G520" t="inlineStr">
        <is>
          <t>NÄSSJÖ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44776</v>
      </c>
      <c r="E521" s="1" t="n">
        <v>46320</v>
      </c>
      <c r="F521" t="inlineStr">
        <is>
          <t>JÖNKÖPINGS LÄN</t>
        </is>
      </c>
      <c r="G521" t="inlineStr">
        <is>
          <t>NÄSSJÖ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46320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45188</v>
      </c>
      <c r="E523" s="1" t="n">
        <v>46320</v>
      </c>
      <c r="F523" t="inlineStr">
        <is>
          <t>JÖNKÖPINGS LÄN</t>
        </is>
      </c>
      <c r="G523" t="inlineStr">
        <is>
          <t>NÄSSJÖ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46320</v>
      </c>
      <c r="F524" t="inlineStr">
        <is>
          <t>JÖNKÖPINGS LÄN</t>
        </is>
      </c>
      <c r="G524" t="inlineStr">
        <is>
          <t>NÄSSJÖ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46320</v>
      </c>
      <c r="F525" t="inlineStr">
        <is>
          <t>JÖNKÖPINGS LÄN</t>
        </is>
      </c>
      <c r="G525" t="inlineStr">
        <is>
          <t>NÄSSJÖ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45189</v>
      </c>
      <c r="E526" s="1" t="n">
        <v>46320</v>
      </c>
      <c r="F526" t="inlineStr">
        <is>
          <t>JÖNKÖPINGS LÄN</t>
        </is>
      </c>
      <c r="G526" t="inlineStr">
        <is>
          <t>NÄSSJÖ</t>
        </is>
      </c>
      <c r="I526" t="n">
        <v>11.8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20498-2022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44699</v>
      </c>
      <c r="E527" s="1" t="n">
        <v>46320</v>
      </c>
      <c r="F527" t="inlineStr">
        <is>
          <t>JÖNKÖPINGS LÄN</t>
        </is>
      </c>
      <c r="G527" t="inlineStr">
        <is>
          <t>NÄSSJÖ</t>
        </is>
      </c>
      <c r="I527" t="n">
        <v>11.3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45695</v>
      </c>
      <c r="E528" s="1" t="n">
        <v>46320</v>
      </c>
      <c r="F528" t="inlineStr">
        <is>
          <t>JÖNKÖPINGS LÄN</t>
        </is>
      </c>
      <c r="G528" t="inlineStr">
        <is>
          <t>NÄSSJÖ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46320</v>
      </c>
      <c r="F529" t="inlineStr">
        <is>
          <t>JÖNKÖPINGS LÄN</t>
        </is>
      </c>
      <c r="G529" t="inlineStr">
        <is>
          <t>NÄSSJÖ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40927-2023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46320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46320</v>
      </c>
      <c r="F531" t="inlineStr">
        <is>
          <t>JÖNKÖPINGS LÄN</t>
        </is>
      </c>
      <c r="G531" t="inlineStr">
        <is>
          <t>NÄSSJÖ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45734</v>
      </c>
      <c r="E532" s="1" t="n">
        <v>46320</v>
      </c>
      <c r="F532" t="inlineStr">
        <is>
          <t>JÖNKÖPINGS LÄN</t>
        </is>
      </c>
      <c r="G532" t="inlineStr">
        <is>
          <t>NÄSSJÖ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45302</v>
      </c>
      <c r="E533" s="1" t="n">
        <v>46320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58236-2023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46320</v>
      </c>
      <c r="F534" t="inlineStr">
        <is>
          <t>JÖNKÖPINGS LÄN</t>
        </is>
      </c>
      <c r="G534" t="inlineStr">
        <is>
          <t>NÄSSJÖ</t>
        </is>
      </c>
      <c r="H534" t="inlineStr">
        <is>
          <t>Kommuner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50072-2023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46320</v>
      </c>
      <c r="F535" t="inlineStr">
        <is>
          <t>JÖNKÖPINGS LÄN</t>
        </is>
      </c>
      <c r="G535" t="inlineStr">
        <is>
          <t>NÄSSJÖ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46320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52669-2023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45219</v>
      </c>
      <c r="E537" s="1" t="n">
        <v>46320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46320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46320</v>
      </c>
      <c r="F539" t="inlineStr">
        <is>
          <t>JÖNKÖPINGS LÄN</t>
        </is>
      </c>
      <c r="G539" t="inlineStr">
        <is>
          <t>NÄSSJÖ</t>
        </is>
      </c>
      <c r="H539" t="inlineStr">
        <is>
          <t>Kyrkan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45361</v>
      </c>
      <c r="E540" s="1" t="n">
        <v>46320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49878-2023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45213</v>
      </c>
      <c r="E541" s="1" t="n">
        <v>46320</v>
      </c>
      <c r="F541" t="inlineStr">
        <is>
          <t>JÖNKÖPINGS LÄN</t>
        </is>
      </c>
      <c r="G541" t="inlineStr">
        <is>
          <t>NÄSSJÖ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13096-2025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46320</v>
      </c>
      <c r="F542" t="inlineStr">
        <is>
          <t>JÖNKÖPINGS LÄN</t>
        </is>
      </c>
      <c r="G542" t="inlineStr">
        <is>
          <t>NÄSSJÖ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49661-2023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46320</v>
      </c>
      <c r="F543" t="inlineStr">
        <is>
          <t>JÖNKÖPINGS LÄN</t>
        </is>
      </c>
      <c r="G543" t="inlineStr">
        <is>
          <t>NÄSSJÖ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44956</v>
      </c>
      <c r="E544" s="1" t="n">
        <v>46320</v>
      </c>
      <c r="F544" t="inlineStr">
        <is>
          <t>JÖNKÖPINGS LÄN</t>
        </is>
      </c>
      <c r="G544" t="inlineStr">
        <is>
          <t>NÄSSJÖ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52605-2022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44874</v>
      </c>
      <c r="E545" s="1" t="n">
        <v>46320</v>
      </c>
      <c r="F545" t="inlineStr">
        <is>
          <t>JÖNKÖPINGS LÄN</t>
        </is>
      </c>
      <c r="G545" t="inlineStr">
        <is>
          <t>NÄSSJÖ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45259</v>
      </c>
      <c r="E546" s="1" t="n">
        <v>46320</v>
      </c>
      <c r="F546" t="inlineStr">
        <is>
          <t>JÖNKÖPINGS LÄN</t>
        </is>
      </c>
      <c r="G546" t="inlineStr">
        <is>
          <t>NÄSSJÖ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45009</v>
      </c>
      <c r="E547" s="1" t="n">
        <v>46320</v>
      </c>
      <c r="F547" t="inlineStr">
        <is>
          <t>JÖNKÖPINGS LÄN</t>
        </is>
      </c>
      <c r="G547" t="inlineStr">
        <is>
          <t>NÄSSJÖ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61451-2023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45264</v>
      </c>
      <c r="E548" s="1" t="n">
        <v>46320</v>
      </c>
      <c r="F548" t="inlineStr">
        <is>
          <t>JÖNKÖPINGS LÄN</t>
        </is>
      </c>
      <c r="G548" t="inlineStr">
        <is>
          <t>NÄSSJÖ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46320</v>
      </c>
      <c r="F549" t="inlineStr">
        <is>
          <t>JÖNKÖPINGS LÄN</t>
        </is>
      </c>
      <c r="G549" t="inlineStr">
        <is>
          <t>NÄSSJÖ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46320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45488</v>
      </c>
      <c r="E551" s="1" t="n">
        <v>46320</v>
      </c>
      <c r="F551" t="inlineStr">
        <is>
          <t>JÖNKÖPINGS LÄN</t>
        </is>
      </c>
      <c r="G551" t="inlineStr">
        <is>
          <t>NÄSSJÖ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59348-2022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44904</v>
      </c>
      <c r="E552" s="1" t="n">
        <v>46320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64057-2023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46320</v>
      </c>
      <c r="F553" t="inlineStr">
        <is>
          <t>JÖNKÖPINGS LÄN</t>
        </is>
      </c>
      <c r="G553" t="inlineStr">
        <is>
          <t>NÄSSJÖ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44984</v>
      </c>
      <c r="E554" s="1" t="n">
        <v>46320</v>
      </c>
      <c r="F554" t="inlineStr">
        <is>
          <t>JÖNKÖPINGS LÄN</t>
        </is>
      </c>
      <c r="G554" t="inlineStr">
        <is>
          <t>NÄSSJÖ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2025-2024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46320</v>
      </c>
      <c r="F555" t="inlineStr">
        <is>
          <t>JÖNKÖPINGS LÄN</t>
        </is>
      </c>
      <c r="G555" t="inlineStr">
        <is>
          <t>NÄSSJÖ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45693</v>
      </c>
      <c r="E556" s="1" t="n">
        <v>46320</v>
      </c>
      <c r="F556" t="inlineStr">
        <is>
          <t>JÖNKÖPINGS LÄN</t>
        </is>
      </c>
      <c r="G556" t="inlineStr">
        <is>
          <t>NÄSSJÖ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53960-2022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46320</v>
      </c>
      <c r="F557" t="inlineStr">
        <is>
          <t>JÖNKÖPINGS LÄN</t>
        </is>
      </c>
      <c r="G557" t="inlineStr">
        <is>
          <t>NÄSSJÖ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16850-2025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46320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39485-2024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46320</v>
      </c>
      <c r="F559" t="inlineStr">
        <is>
          <t>JÖNKÖPINGS LÄN</t>
        </is>
      </c>
      <c r="G559" t="inlineStr">
        <is>
          <t>NÄSSJÖ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46320</v>
      </c>
      <c r="F560" t="inlineStr">
        <is>
          <t>JÖNKÖPINGS LÄN</t>
        </is>
      </c>
      <c r="G560" t="inlineStr">
        <is>
          <t>NÄSSJÖ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58541-2022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44902</v>
      </c>
      <c r="E561" s="1" t="n">
        <v>46320</v>
      </c>
      <c r="F561" t="inlineStr">
        <is>
          <t>JÖNKÖPINGS LÄN</t>
        </is>
      </c>
      <c r="G561" t="inlineStr">
        <is>
          <t>NÄSSJÖ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7140-2022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44603</v>
      </c>
      <c r="E562" s="1" t="n">
        <v>46320</v>
      </c>
      <c r="F562" t="inlineStr">
        <is>
          <t>JÖNKÖPINGS LÄN</t>
        </is>
      </c>
      <c r="G562" t="inlineStr">
        <is>
          <t>NÄSSJÖ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46320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46320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46320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46320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46320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46320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46320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46320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46320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46320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46320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46320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45103</v>
      </c>
      <c r="E575" s="1" t="n">
        <v>46320</v>
      </c>
      <c r="F575" t="inlineStr">
        <is>
          <t>JÖNKÖPINGS LÄN</t>
        </is>
      </c>
      <c r="G575" t="inlineStr">
        <is>
          <t>NÄSSJÖ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2247-2023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45100</v>
      </c>
      <c r="E576" s="1" t="n">
        <v>46320</v>
      </c>
      <c r="F576" t="inlineStr">
        <is>
          <t>JÖNKÖPINGS LÄN</t>
        </is>
      </c>
      <c r="G576" t="inlineStr">
        <is>
          <t>NÄSSJÖ</t>
        </is>
      </c>
      <c r="I576" t="n">
        <v>57.1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1262-2023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45029</v>
      </c>
      <c r="E577" s="1" t="n">
        <v>46320</v>
      </c>
      <c r="F577" t="inlineStr">
        <is>
          <t>JÖNKÖPINGS LÄN</t>
        </is>
      </c>
      <c r="G577" t="inlineStr">
        <is>
          <t>NÄSSJÖ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45419</v>
      </c>
      <c r="E578" s="1" t="n">
        <v>46320</v>
      </c>
      <c r="F578" t="inlineStr">
        <is>
          <t>JÖNKÖPINGS LÄN</t>
        </is>
      </c>
      <c r="G578" t="inlineStr">
        <is>
          <t>NÄSSJÖ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1666-2023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45062</v>
      </c>
      <c r="E579" s="1" t="n">
        <v>46320</v>
      </c>
      <c r="F579" t="inlineStr">
        <is>
          <t>JÖNKÖPINGS LÄN</t>
        </is>
      </c>
      <c r="G579" t="inlineStr">
        <is>
          <t>NÄSSJÖ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1408-2023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46320</v>
      </c>
      <c r="F580" t="inlineStr">
        <is>
          <t>JÖNKÖPINGS LÄN</t>
        </is>
      </c>
      <c r="G580" t="inlineStr">
        <is>
          <t>NÄSSJÖ</t>
        </is>
      </c>
      <c r="H580" t="inlineStr">
        <is>
          <t>Kommuner</t>
        </is>
      </c>
      <c r="I580" t="n">
        <v>65.2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1731-2025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45809</v>
      </c>
      <c r="E581" s="1" t="n">
        <v>46320</v>
      </c>
      <c r="F581" t="inlineStr">
        <is>
          <t>JÖNKÖPINGS LÄN</t>
        </is>
      </c>
      <c r="G581" t="inlineStr">
        <is>
          <t>NÄSSJÖ</t>
        </is>
      </c>
      <c r="I581" t="n">
        <v>27.6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1699-2025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45804</v>
      </c>
      <c r="E582" s="1" t="n">
        <v>46320</v>
      </c>
      <c r="F582" t="inlineStr">
        <is>
          <t>JÖNKÖPINGS LÄN</t>
        </is>
      </c>
      <c r="G582" t="inlineStr">
        <is>
          <t>NÄSSJÖ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2024-2025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45835</v>
      </c>
      <c r="E583" s="1" t="n">
        <v>46320</v>
      </c>
      <c r="F583" t="inlineStr">
        <is>
          <t>JÖNKÖPINGS LÄN</t>
        </is>
      </c>
      <c r="G583" t="inlineStr">
        <is>
          <t>NÄSSJÖ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688-2026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46320</v>
      </c>
      <c r="F584" t="inlineStr">
        <is>
          <t>JÖNKÖPINGS LÄN</t>
        </is>
      </c>
      <c r="G584" t="inlineStr">
        <is>
          <t>NÄSSJÖ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46320</v>
      </c>
      <c r="F585" t="inlineStr">
        <is>
          <t>JÖNKÖPINGS LÄN</t>
        </is>
      </c>
      <c r="G585" t="inlineStr">
        <is>
          <t>NÄSSJÖ</t>
        </is>
      </c>
      <c r="I585" t="n">
        <v>33.2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1942-2026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46209</v>
      </c>
      <c r="E586" s="1" t="n">
        <v>46320</v>
      </c>
      <c r="F586" t="inlineStr">
        <is>
          <t>JÖNKÖPINGS LÄN</t>
        </is>
      </c>
      <c r="G586" t="inlineStr">
        <is>
          <t>NÄSSJÖ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1332-2026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46150</v>
      </c>
      <c r="E587" s="1" t="n">
        <v>46320</v>
      </c>
      <c r="F587" t="inlineStr">
        <is>
          <t>JÖNKÖPINGS LÄN</t>
        </is>
      </c>
      <c r="G587" t="inlineStr">
        <is>
          <t>NÄSSJÖ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2026-10-25T02:03:41Z</dcterms:created>
  <dcterms:modified xmlns:dcterms="http://purl.org/dc/terms/" xmlns:xsi="http://www.w3.org/2001/XMLSchema-instance" xsi:type="dcterms:W3CDTF">2026-10-25T02:03:42Z</dcterms:modified>
</cp:coreProperties>
</file>