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46230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46230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46230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46230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46230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46230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46230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46230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46230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46230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46230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46230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46230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46230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46230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46230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46230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46230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46230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46230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27215-2023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45096</v>
      </c>
      <c r="E28" s="1" t="n">
        <v>46230</v>
      </c>
      <c r="F28" t="inlineStr">
        <is>
          <t>JÖNKÖPINGS LÄN</t>
        </is>
      </c>
      <c r="G28" t="inlineStr">
        <is>
          <t>NÄSSJÖ</t>
        </is>
      </c>
      <c r="I28" t="n">
        <v>13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HYPERLINK("https://klasma.github.io/Logging_0682/artfynd/A 27215-2023 artfynd.xlsx", "A 27215-2023")</f>
        <v/>
      </c>
      <c r="X28">
        <f>HYPERLINK("https://klasma.github.io/Logging_0682/kartor/A 27215-2023 karta.png", "A 27215-2023")</f>
        <v/>
      </c>
      <c r="Y28">
        <f>HYPERLINK("https://klasma.github.io/Logging_0682/kartor_geotiff/A 27215-2023 georefererad karta.tif", "A 27215-2023")</f>
        <v/>
      </c>
      <c r="AA28">
        <f>HYPERLINK("https://klasma.github.io/Logging_0682/klagomål/A 27215-2023 FSC-klagomål.docx", "A 27215-2023")</f>
        <v/>
      </c>
      <c r="AB28">
        <f>HYPERLINK("https://klasma.github.io/Logging_0682/klagomålsmail/A 27215-2023 FSC-klagomål mail.docx", "A 27215-2023")</f>
        <v/>
      </c>
      <c r="AC28">
        <f>HYPERLINK("https://klasma.github.io/Logging_0682/tillsyn/A 27215-2023 tillsynsbegäran.docx", "A 27215-2023")</f>
        <v/>
      </c>
      <c r="AD28">
        <f>HYPERLINK("https://klasma.github.io/Logging_0682/tillsynsmail/A 27215-2023 tillsynsbegäran mail.docx", "A 27215-2023")</f>
        <v/>
      </c>
      <c r="AE28">
        <f>HYPERLINK("https://klasma.github.io/Logging_0682/fåglar/A 27215-2023 prioriterade fågelarter.docx", "A 27215-2023")</f>
        <v/>
      </c>
    </row>
    <row r="29" ht="15" customHeight="1">
      <c r="A29" t="inlineStr">
        <is>
          <t>A 41327-2025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45899</v>
      </c>
      <c r="E29" s="1" t="n">
        <v>46230</v>
      </c>
      <c r="F29" t="inlineStr">
        <is>
          <t>JÖNKÖPINGS LÄN</t>
        </is>
      </c>
      <c r="G29" t="inlineStr">
        <is>
          <t>NÄSSJÖ</t>
        </is>
      </c>
      <c r="I29" t="n">
        <v>5.6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HYPERLINK("https://klasma.github.io/Logging_0682/artfynd/A 41327-2025 artfynd.xlsx", "A 41327-2025")</f>
        <v/>
      </c>
      <c r="X29">
        <f>HYPERLINK("https://klasma.github.io/Logging_0682/kartor/A 41327-2025 karta.png", "A 41327-2025")</f>
        <v/>
      </c>
      <c r="Y29">
        <f>HYPERLINK("https://klasma.github.io/Logging_0682/kartor_geotiff/A 41327-2025 georefererad karta.tif", "A 41327-2025")</f>
        <v/>
      </c>
      <c r="AA29">
        <f>HYPERLINK("https://klasma.github.io/Logging_0682/klagomål/A 41327-2025 FSC-klagomål.docx", "A 41327-2025")</f>
        <v/>
      </c>
      <c r="AB29">
        <f>HYPERLINK("https://klasma.github.io/Logging_0682/klagomålsmail/A 41327-2025 FSC-klagomål mail.docx", "A 41327-2025")</f>
        <v/>
      </c>
      <c r="AC29">
        <f>HYPERLINK("https://klasma.github.io/Logging_0682/tillsyn/A 41327-2025 tillsynsbegäran.docx", "A 41327-2025")</f>
        <v/>
      </c>
      <c r="AD29">
        <f>HYPERLINK("https://klasma.github.io/Logging_0682/tillsynsmail/A 41327-2025 tillsynsbegäran mail.docx", "A 41327-2025")</f>
        <v/>
      </c>
      <c r="AE29">
        <f>HYPERLINK("https://klasma.github.io/Logging_0682/fåglar/A 41327-2025 prioriterade fågelarter.docx", "A 41327-2025")</f>
        <v/>
      </c>
    </row>
    <row r="30" ht="15" customHeight="1">
      <c r="A30" t="inlineStr">
        <is>
          <t>A 33372-2025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46230</v>
      </c>
      <c r="F30" t="inlineStr">
        <is>
          <t>JÖNKÖPINGS LÄN</t>
        </is>
      </c>
      <c r="G30" t="inlineStr">
        <is>
          <t>NÄSSJÖ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HYPERLINK("https://klasma.github.io/Logging_0682/artfynd/A 33372-2025 artfynd.xlsx", "A 33372-2025")</f>
        <v/>
      </c>
      <c r="X30">
        <f>HYPERLINK("https://klasma.github.io/Logging_0682/kartor/A 33372-2025 karta.png", "A 33372-2025")</f>
        <v/>
      </c>
      <c r="Y30">
        <f>HYPERLINK("https://klasma.github.io/Logging_0682/kartor_geotiff/A 33372-2025 georefererad karta.tif", "A 33372-2025")</f>
        <v/>
      </c>
      <c r="AA30">
        <f>HYPERLINK("https://klasma.github.io/Logging_0682/klagomål/A 33372-2025 FSC-klagomål.docx", "A 33372-2025")</f>
        <v/>
      </c>
      <c r="AB30">
        <f>HYPERLINK("https://klasma.github.io/Logging_0682/klagomålsmail/A 33372-2025 FSC-klagomål mail.docx", "A 33372-2025")</f>
        <v/>
      </c>
      <c r="AC30">
        <f>HYPERLINK("https://klasma.github.io/Logging_0682/tillsyn/A 33372-2025 tillsynsbegäran.docx", "A 33372-2025")</f>
        <v/>
      </c>
      <c r="AD30">
        <f>HYPERLINK("https://klasma.github.io/Logging_0682/tillsynsmail/A 33372-2025 tillsynsbegäran mail.docx", "A 33372-2025")</f>
        <v/>
      </c>
    </row>
    <row r="31" ht="15" customHeight="1">
      <c r="A31" t="inlineStr">
        <is>
          <t>A 3693-2022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46230</v>
      </c>
      <c r="F31" t="inlineStr">
        <is>
          <t>JÖNKÖPINGS LÄN</t>
        </is>
      </c>
      <c r="G31" t="inlineStr">
        <is>
          <t>NÄSSJÖ</t>
        </is>
      </c>
      <c r="I31" t="n">
        <v>2.9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HYPERLINK("https://klasma.github.io/Logging_0682/artfynd/A 3693-2022 artfynd.xlsx", "A 3693-2022")</f>
        <v/>
      </c>
      <c r="X31">
        <f>HYPERLINK("https://klasma.github.io/Logging_0682/kartor/A 3693-2022 karta.png", "A 3693-2022")</f>
        <v/>
      </c>
      <c r="Y31">
        <f>HYPERLINK("https://klasma.github.io/Logging_0682/kartor_geotiff/A 3693-2022 georefererad karta.tif", "A 3693-2022")</f>
        <v/>
      </c>
      <c r="AA31">
        <f>HYPERLINK("https://klasma.github.io/Logging_0682/klagomål/A 3693-2022 FSC-klagomål.docx", "A 3693-2022")</f>
        <v/>
      </c>
      <c r="AB31">
        <f>HYPERLINK("https://klasma.github.io/Logging_0682/klagomålsmail/A 3693-2022 FSC-klagomål mail.docx", "A 3693-2022")</f>
        <v/>
      </c>
      <c r="AC31">
        <f>HYPERLINK("https://klasma.github.io/Logging_0682/tillsyn/A 3693-2022 tillsynsbegäran.docx", "A 3693-2022")</f>
        <v/>
      </c>
      <c r="AD31">
        <f>HYPERLINK("https://klasma.github.io/Logging_0682/tillsynsmail/A 3693-2022 tillsynsbegäran mail.docx", "A 3693-2022")</f>
        <v/>
      </c>
      <c r="AE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46230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46230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46230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46230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46230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46230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46230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52937-2024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45610</v>
      </c>
      <c r="E39" s="1" t="n">
        <v>46230</v>
      </c>
      <c r="F39" t="inlineStr">
        <is>
          <t>JÖNKÖPINGS LÄN</t>
        </is>
      </c>
      <c r="G39" t="inlineStr">
        <is>
          <t>NÄSSJÖ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HYPERLINK("https://klasma.github.io/Logging_0682/artfynd/A 52937-2024 artfynd.xlsx", "A 52937-2024")</f>
        <v/>
      </c>
      <c r="X39">
        <f>HYPERLINK("https://klasma.github.io/Logging_0682/kartor/A 52937-2024 karta.png", "A 52937-2024")</f>
        <v/>
      </c>
      <c r="Y39">
        <f>HYPERLINK("https://klasma.github.io/Logging_0682/kartor_geotiff/A 52937-2024 georefererad karta.tif", "A 52937-2024")</f>
        <v/>
      </c>
      <c r="AA39">
        <f>HYPERLINK("https://klasma.github.io/Logging_0682/klagomål/A 52937-2024 FSC-klagomål.docx", "A 52937-2024")</f>
        <v/>
      </c>
      <c r="AB39">
        <f>HYPERLINK("https://klasma.github.io/Logging_0682/klagomålsmail/A 52937-2024 FSC-klagomål mail.docx", "A 52937-2024")</f>
        <v/>
      </c>
      <c r="AC39">
        <f>HYPERLINK("https://klasma.github.io/Logging_0682/tillsyn/A 52937-2024 tillsynsbegäran.docx", "A 52937-2024")</f>
        <v/>
      </c>
      <c r="AD39">
        <f>HYPERLINK("https://klasma.github.io/Logging_0682/tillsynsmail/A 52937-2024 tillsynsbegäran mail.docx", "A 52937-2024")</f>
        <v/>
      </c>
      <c r="AE39">
        <f>HYPERLINK("https://klasma.github.io/Logging_0682/fåglar/A 52937-2024 prioriterade fågelarter.docx", "A 52937-2024")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46230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55860-2022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46230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19</v>
      </c>
      <c r="U41" t="n">
        <v>0</v>
      </c>
      <c r="V41" s="2" t="inlineStr">
        <is>
          <t>Knärot</t>
        </is>
      </c>
      <c r="W41">
        <f>HYPERLINK("https://klasma.github.io/Logging_0682/artfynd/A 55860-2022 artfynd.xlsx", "A 55860-2022")</f>
        <v/>
      </c>
      <c r="X41">
        <f>HYPERLINK("https://klasma.github.io/Logging_0682/kartor/A 55860-2022 karta.png", "A 55860-2022")</f>
        <v/>
      </c>
      <c r="Y41">
        <f>HYPERLINK("https://klasma.github.io/Logging_0682/kartor_geotiff/A 55860-2022 georefererad karta.tif", "A 55860-2022")</f>
        <v/>
      </c>
      <c r="Z41">
        <f>HYPERLINK("https://klasma.github.io/Logging_0682/knärot/A 55860-2022 karta knärot.png", "A 55860-2022")</f>
        <v/>
      </c>
      <c r="AA41">
        <f>HYPERLINK("https://klasma.github.io/Logging_0682/klagomål/A 55860-2022 FSC-klagomål.docx", "A 55860-2022")</f>
        <v/>
      </c>
      <c r="AB41">
        <f>HYPERLINK("https://klasma.github.io/Logging_0682/klagomålsmail/A 55860-2022 FSC-klagomål mail.docx", "A 55860-2022")</f>
        <v/>
      </c>
      <c r="AC41">
        <f>HYPERLINK("https://klasma.github.io/Logging_0682/tillsyn/A 55860-2022 tillsynsbegäran.docx", "A 55860-2022")</f>
        <v/>
      </c>
      <c r="AD41">
        <f>HYPERLINK("https://klasma.github.io/Logging_0682/tillsynsmail/A 55860-2022 tillsynsbegäran mail.docx", "A 55860-2022")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46230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46230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35328-2024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45530</v>
      </c>
      <c r="E44" s="1" t="n">
        <v>46230</v>
      </c>
      <c r="F44" t="inlineStr">
        <is>
          <t>JÖNKÖPINGS LÄN</t>
        </is>
      </c>
      <c r="G44" t="inlineStr">
        <is>
          <t>NÄSSJÖ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HYPERLINK("https://klasma.github.io/Logging_0682/artfynd/A 35328-2024 artfynd.xlsx", "A 35328-2024")</f>
        <v/>
      </c>
      <c r="X44">
        <f>HYPERLINK("https://klasma.github.io/Logging_0682/kartor/A 35328-2024 karta.png", "A 35328-2024")</f>
        <v/>
      </c>
      <c r="Y44">
        <f>HYPERLINK("https://klasma.github.io/Logging_0682/kartor_geotiff/A 35328-2024 georefererad karta.tif", "A 35328-2024")</f>
        <v/>
      </c>
      <c r="AA44">
        <f>HYPERLINK("https://klasma.github.io/Logging_0682/klagomål/A 35328-2024 FSC-klagomål.docx", "A 35328-2024")</f>
        <v/>
      </c>
      <c r="AB44">
        <f>HYPERLINK("https://klasma.github.io/Logging_0682/klagomålsmail/A 35328-2024 FSC-klagomål mail.docx", "A 35328-2024")</f>
        <v/>
      </c>
      <c r="AC44">
        <f>HYPERLINK("https://klasma.github.io/Logging_0682/tillsyn/A 35328-2024 tillsynsbegäran.docx", "A 35328-2024")</f>
        <v/>
      </c>
      <c r="AD44">
        <f>HYPERLINK("https://klasma.github.io/Logging_0682/tillsynsmail/A 35328-2024 tillsynsbegäran mail.docx", "A 35328-2024")</f>
        <v/>
      </c>
    </row>
    <row r="45" ht="15" customHeight="1">
      <c r="A45" t="inlineStr">
        <is>
          <t>A 18844-2026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46230</v>
      </c>
      <c r="F45" t="inlineStr">
        <is>
          <t>JÖNKÖPINGS LÄN</t>
        </is>
      </c>
      <c r="G45" t="inlineStr">
        <is>
          <t>NÄSSJÖ</t>
        </is>
      </c>
      <c r="I45" t="n">
        <v>4.6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18844-2026 artfynd.xlsx", "A 18844-2026")</f>
        <v/>
      </c>
      <c r="X45">
        <f>HYPERLINK("https://klasma.github.io/Logging_0682/kartor/A 18844-2026 karta.png", "A 18844-2026")</f>
        <v/>
      </c>
      <c r="Y45">
        <f>HYPERLINK("https://klasma.github.io/Logging_0682/kartor_geotiff/A 18844-2026 georefererad karta.tif", "A 18844-2026")</f>
        <v/>
      </c>
      <c r="AA45">
        <f>HYPERLINK("https://klasma.github.io/Logging_0682/klagomål/A 18844-2026 FSC-klagomål.docx", "A 18844-2026")</f>
        <v/>
      </c>
      <c r="AB45">
        <f>HYPERLINK("https://klasma.github.io/Logging_0682/klagomålsmail/A 18844-2026 FSC-klagomål mail.docx", "A 18844-2026")</f>
        <v/>
      </c>
      <c r="AC45">
        <f>HYPERLINK("https://klasma.github.io/Logging_0682/tillsyn/A 18844-2026 tillsynsbegäran.docx", "A 18844-2026")</f>
        <v/>
      </c>
      <c r="AD45">
        <f>HYPERLINK("https://klasma.github.io/Logging_0682/tillsynsmail/A 18844-2026 tillsynsbegäran mail.docx", "A 18844-2026")</f>
        <v/>
      </c>
    </row>
    <row r="46" ht="15" customHeight="1">
      <c r="A46" t="inlineStr">
        <is>
          <t>A 33414-2025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46230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Rhithrogena germanica</t>
        </is>
      </c>
      <c r="W46">
        <f>HYPERLINK("https://klasma.github.io/Logging_0682/artfynd/A 33414-2025 artfynd.xlsx", "A 33414-2025")</f>
        <v/>
      </c>
      <c r="X46">
        <f>HYPERLINK("https://klasma.github.io/Logging_0682/kartor/A 33414-2025 karta.png", "A 33414-2025")</f>
        <v/>
      </c>
      <c r="Y46">
        <f>HYPERLINK("https://klasma.github.io/Logging_0682/kartor_geotiff/A 33414-2025 georefererad karta.tif", "A 33414-2025")</f>
        <v/>
      </c>
      <c r="AA46">
        <f>HYPERLINK("https://klasma.github.io/Logging_0682/klagomål/A 33414-2025 FSC-klagomål.docx", "A 33414-2025")</f>
        <v/>
      </c>
      <c r="AB46">
        <f>HYPERLINK("https://klasma.github.io/Logging_0682/klagomålsmail/A 33414-2025 FSC-klagomål mail.docx", "A 33414-2025")</f>
        <v/>
      </c>
      <c r="AC46">
        <f>HYPERLINK("https://klasma.github.io/Logging_0682/tillsyn/A 33414-2025 tillsynsbegäran.docx", "A 33414-2025")</f>
        <v/>
      </c>
      <c r="AD46">
        <f>HYPERLINK("https://klasma.github.io/Logging_0682/tillsynsmail/A 33414-2025 tillsynsbegäran mail.docx", "A 33414-2025")</f>
        <v/>
      </c>
    </row>
    <row r="47" ht="15" customHeight="1">
      <c r="A47" t="inlineStr">
        <is>
          <t>A 33373-2025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46230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Ögonpyrola</t>
        </is>
      </c>
      <c r="W47">
        <f>HYPERLINK("https://klasma.github.io/Logging_0682/artfynd/A 33373-2025 artfynd.xlsx", "A 33373-2025")</f>
        <v/>
      </c>
      <c r="X47">
        <f>HYPERLINK("https://klasma.github.io/Logging_0682/kartor/A 33373-2025 karta.png", "A 33373-2025")</f>
        <v/>
      </c>
      <c r="Y47">
        <f>HYPERLINK("https://klasma.github.io/Logging_0682/kartor_geotiff/A 33373-2025 georefererad karta.tif", "A 33373-2025")</f>
        <v/>
      </c>
      <c r="AA47">
        <f>HYPERLINK("https://klasma.github.io/Logging_0682/klagomål/A 33373-2025 FSC-klagomål.docx", "A 33373-2025")</f>
        <v/>
      </c>
      <c r="AB47">
        <f>HYPERLINK("https://klasma.github.io/Logging_0682/klagomålsmail/A 33373-2025 FSC-klagomål mail.docx", "A 33373-2025")</f>
        <v/>
      </c>
      <c r="AC47">
        <f>HYPERLINK("https://klasma.github.io/Logging_0682/tillsyn/A 33373-2025 tillsynsbegäran.docx", "A 33373-2025")</f>
        <v/>
      </c>
      <c r="AD47">
        <f>HYPERLINK("https://klasma.github.io/Logging_0682/tillsynsmail/A 33373-2025 tillsynsbegäran mail.docx", "A 33373-2025")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46230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46230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46230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46230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46230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46230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46230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46230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46230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46230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46230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46230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46230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46230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46230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46230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46230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46230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46230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46230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44573</v>
      </c>
      <c r="E68" s="1" t="n">
        <v>46230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46230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46230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46230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46230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46230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44586</v>
      </c>
      <c r="E74" s="1" t="n">
        <v>46230</v>
      </c>
      <c r="F74" t="inlineStr">
        <is>
          <t>JÖNKÖPINGS LÄN</t>
        </is>
      </c>
      <c r="G74" t="inlineStr">
        <is>
          <t>NÄSSJÖ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46230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46230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46230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46230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46230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46230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46230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46230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46230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46230</v>
      </c>
      <c r="F84" t="inlineStr">
        <is>
          <t>JÖNKÖPINGS LÄN</t>
        </is>
      </c>
      <c r="G84" t="inlineStr">
        <is>
          <t>NÄSSJÖ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46230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46230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46230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46230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46230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46230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44407</v>
      </c>
      <c r="E91" s="1" t="n">
        <v>46230</v>
      </c>
      <c r="F91" t="inlineStr">
        <is>
          <t>JÖNKÖPINGS LÄN</t>
        </is>
      </c>
      <c r="G91" t="inlineStr">
        <is>
          <t>NÄSSJÖ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46230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46230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46230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46230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46230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46230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46230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46230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46230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46230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46230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46230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46230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46230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46230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44568</v>
      </c>
      <c r="E107" s="1" t="n">
        <v>46230</v>
      </c>
      <c r="F107" t="inlineStr">
        <is>
          <t>JÖNKÖPINGS LÄN</t>
        </is>
      </c>
      <c r="G107" t="inlineStr">
        <is>
          <t>NÄSSJÖ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46230</v>
      </c>
      <c r="F108" t="inlineStr">
        <is>
          <t>JÖNKÖPINGS LÄN</t>
        </is>
      </c>
      <c r="G108" t="inlineStr">
        <is>
          <t>NÄSSJÖ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46230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46230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46230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46230</v>
      </c>
      <c r="F112" t="inlineStr">
        <is>
          <t>JÖNKÖPINGS LÄN</t>
        </is>
      </c>
      <c r="G112" t="inlineStr">
        <is>
          <t>NÄSSJÖ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46230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46230</v>
      </c>
      <c r="F114" t="inlineStr">
        <is>
          <t>JÖNKÖPINGS LÄN</t>
        </is>
      </c>
      <c r="G114" t="inlineStr">
        <is>
          <t>NÄSSJÖ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46230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49389-2021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46230</v>
      </c>
      <c r="F116" t="inlineStr">
        <is>
          <t>JÖNKÖPINGS LÄN</t>
        </is>
      </c>
      <c r="G116" t="inlineStr">
        <is>
          <t>NÄSSJÖ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46230</v>
      </c>
      <c r="F117" t="inlineStr">
        <is>
          <t>JÖNKÖPINGS LÄN</t>
        </is>
      </c>
      <c r="G117" t="inlineStr">
        <is>
          <t>NÄSSJÖ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46230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45213</v>
      </c>
      <c r="E119" s="1" t="n">
        <v>46230</v>
      </c>
      <c r="F119" t="inlineStr">
        <is>
          <t>JÖNKÖPINGS LÄN</t>
        </is>
      </c>
      <c r="G119" t="inlineStr">
        <is>
          <t>NÄSSJÖ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46230</v>
      </c>
      <c r="F120" t="inlineStr">
        <is>
          <t>JÖNKÖPINGS LÄN</t>
        </is>
      </c>
      <c r="G120" t="inlineStr">
        <is>
          <t>NÄSSJÖ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45704</v>
      </c>
      <c r="E121" s="1" t="n">
        <v>46230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46230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46230</v>
      </c>
      <c r="F123" t="inlineStr">
        <is>
          <t>JÖNKÖPINGS LÄN</t>
        </is>
      </c>
      <c r="G123" t="inlineStr">
        <is>
          <t>NÄSSJÖ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10436-2025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45720</v>
      </c>
      <c r="E124" s="1" t="n">
        <v>46230</v>
      </c>
      <c r="F124" t="inlineStr">
        <is>
          <t>JÖNKÖPINGS LÄN</t>
        </is>
      </c>
      <c r="G124" t="inlineStr">
        <is>
          <t>NÄSSJÖ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46230</v>
      </c>
      <c r="F125" t="inlineStr">
        <is>
          <t>JÖNKÖPINGS LÄN</t>
        </is>
      </c>
      <c r="G125" t="inlineStr">
        <is>
          <t>NÄSSJÖ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45238</v>
      </c>
      <c r="E126" s="1" t="n">
        <v>46230</v>
      </c>
      <c r="F126" t="inlineStr">
        <is>
          <t>JÖNKÖPINGS LÄN</t>
        </is>
      </c>
      <c r="G126" t="inlineStr">
        <is>
          <t>NÄSSJÖ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46230</v>
      </c>
      <c r="F127" t="inlineStr">
        <is>
          <t>JÖNKÖPINGS LÄN</t>
        </is>
      </c>
      <c r="G127" t="inlineStr">
        <is>
          <t>NÄSSJÖ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45277</v>
      </c>
      <c r="E128" s="1" t="n">
        <v>46230</v>
      </c>
      <c r="F128" t="inlineStr">
        <is>
          <t>JÖNKÖPINGS LÄN</t>
        </is>
      </c>
      <c r="G128" t="inlineStr">
        <is>
          <t>NÄSSJÖ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45031</v>
      </c>
      <c r="E129" s="1" t="n">
        <v>46230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46230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44867</v>
      </c>
      <c r="E131" s="1" t="n">
        <v>46230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46230</v>
      </c>
      <c r="F132" t="inlineStr">
        <is>
          <t>JÖNKÖPINGS LÄN</t>
        </is>
      </c>
      <c r="G132" t="inlineStr">
        <is>
          <t>NÄSSJÖ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45380</v>
      </c>
      <c r="E133" s="1" t="n">
        <v>46230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63635-2023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46230</v>
      </c>
      <c r="F134" t="inlineStr">
        <is>
          <t>JÖNKÖPINGS LÄN</t>
        </is>
      </c>
      <c r="G134" t="inlineStr">
        <is>
          <t>NÄSSJÖ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46230</v>
      </c>
      <c r="F135" t="inlineStr">
        <is>
          <t>JÖNKÖPINGS LÄN</t>
        </is>
      </c>
      <c r="G135" t="inlineStr">
        <is>
          <t>NÄSSJÖ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45503</v>
      </c>
      <c r="E136" s="1" t="n">
        <v>46230</v>
      </c>
      <c r="F136" t="inlineStr">
        <is>
          <t>JÖNKÖPINGS LÄN</t>
        </is>
      </c>
      <c r="G136" t="inlineStr">
        <is>
          <t>NÄSSJÖ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46230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46230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46230</v>
      </c>
      <c r="F139" t="inlineStr">
        <is>
          <t>JÖNKÖPINGS LÄN</t>
        </is>
      </c>
      <c r="G139" t="inlineStr">
        <is>
          <t>NÄSSJÖ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35811-2023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45148</v>
      </c>
      <c r="E140" s="1" t="n">
        <v>46230</v>
      </c>
      <c r="F140" t="inlineStr">
        <is>
          <t>JÖNKÖPINGS LÄN</t>
        </is>
      </c>
      <c r="G140" t="inlineStr">
        <is>
          <t>NÄSSJÖ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45259</v>
      </c>
      <c r="E141" s="1" t="n">
        <v>46230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46230</v>
      </c>
      <c r="F142" t="inlineStr">
        <is>
          <t>JÖNKÖPINGS LÄN</t>
        </is>
      </c>
      <c r="G142" t="inlineStr">
        <is>
          <t>NÄSSJÖ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46230</v>
      </c>
      <c r="F143" t="inlineStr">
        <is>
          <t>JÖNKÖPINGS LÄN</t>
        </is>
      </c>
      <c r="G143" t="inlineStr">
        <is>
          <t>NÄSSJÖ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45109</v>
      </c>
      <c r="E144" s="1" t="n">
        <v>46230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45335</v>
      </c>
      <c r="E145" s="1" t="n">
        <v>46230</v>
      </c>
      <c r="F145" t="inlineStr">
        <is>
          <t>JÖNKÖPINGS LÄN</t>
        </is>
      </c>
      <c r="G145" t="inlineStr">
        <is>
          <t>NÄSSJÖ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46230</v>
      </c>
      <c r="F146" t="inlineStr">
        <is>
          <t>JÖNKÖPINGS LÄN</t>
        </is>
      </c>
      <c r="G146" t="inlineStr">
        <is>
          <t>NÄSSJÖ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46230</v>
      </c>
      <c r="F147" t="inlineStr">
        <is>
          <t>JÖNKÖPINGS LÄN</t>
        </is>
      </c>
      <c r="G147" t="inlineStr">
        <is>
          <t>NÄSSJÖ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46230</v>
      </c>
      <c r="F148" t="inlineStr">
        <is>
          <t>JÖNKÖPINGS LÄN</t>
        </is>
      </c>
      <c r="G148" t="inlineStr">
        <is>
          <t>NÄSSJÖ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46230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45013</v>
      </c>
      <c r="E150" s="1" t="n">
        <v>46230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45317</v>
      </c>
      <c r="E151" s="1" t="n">
        <v>46230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46230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46230</v>
      </c>
      <c r="F153" t="inlineStr">
        <is>
          <t>JÖNKÖPINGS LÄN</t>
        </is>
      </c>
      <c r="G153" t="inlineStr">
        <is>
          <t>NÄSSJÖ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46230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44819</v>
      </c>
      <c r="E155" s="1" t="n">
        <v>46230</v>
      </c>
      <c r="F155" t="inlineStr">
        <is>
          <t>JÖNKÖPINGS LÄN</t>
        </is>
      </c>
      <c r="G155" t="inlineStr">
        <is>
          <t>NÄSSJÖ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46230</v>
      </c>
      <c r="F156" t="inlineStr">
        <is>
          <t>JÖNKÖPINGS LÄN</t>
        </is>
      </c>
      <c r="G156" t="inlineStr">
        <is>
          <t>NÄSSJÖ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46230</v>
      </c>
      <c r="F157" t="inlineStr">
        <is>
          <t>JÖNKÖPINGS LÄN</t>
        </is>
      </c>
      <c r="G157" t="inlineStr">
        <is>
          <t>NÄSSJÖ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45732</v>
      </c>
      <c r="E158" s="1" t="n">
        <v>46230</v>
      </c>
      <c r="F158" t="inlineStr">
        <is>
          <t>JÖNKÖPINGS LÄN</t>
        </is>
      </c>
      <c r="G158" t="inlineStr">
        <is>
          <t>NÄSSJÖ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45734</v>
      </c>
      <c r="E159" s="1" t="n">
        <v>46230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45014</v>
      </c>
      <c r="E160" s="1" t="n">
        <v>46230</v>
      </c>
      <c r="F160" t="inlineStr">
        <is>
          <t>JÖNKÖPINGS LÄN</t>
        </is>
      </c>
      <c r="G160" t="inlineStr">
        <is>
          <t>NÄSSJÖ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32982-2024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45517</v>
      </c>
      <c r="E161" s="1" t="n">
        <v>46230</v>
      </c>
      <c r="F161" t="inlineStr">
        <is>
          <t>JÖNKÖPINGS LÄN</t>
        </is>
      </c>
      <c r="G161" t="inlineStr">
        <is>
          <t>NÄSSJÖ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45181</v>
      </c>
      <c r="E162" s="1" t="n">
        <v>46230</v>
      </c>
      <c r="F162" t="inlineStr">
        <is>
          <t>JÖNKÖPINGS LÄN</t>
        </is>
      </c>
      <c r="G162" t="inlineStr">
        <is>
          <t>NÄSSJÖ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46230</v>
      </c>
      <c r="F163" t="inlineStr">
        <is>
          <t>JÖNKÖPINGS LÄN</t>
        </is>
      </c>
      <c r="G163" t="inlineStr">
        <is>
          <t>NÄSSJÖ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46230</v>
      </c>
      <c r="F164" t="inlineStr">
        <is>
          <t>JÖNKÖPINGS LÄN</t>
        </is>
      </c>
      <c r="G164" t="inlineStr">
        <is>
          <t>NÄSSJÖ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44484</v>
      </c>
      <c r="E165" s="1" t="n">
        <v>46230</v>
      </c>
      <c r="F165" t="inlineStr">
        <is>
          <t>JÖNKÖPINGS LÄN</t>
        </is>
      </c>
      <c r="G165" t="inlineStr">
        <is>
          <t>NÄSSJÖ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45677</v>
      </c>
      <c r="E166" s="1" t="n">
        <v>46230</v>
      </c>
      <c r="F166" t="inlineStr">
        <is>
          <t>JÖNKÖPINGS LÄN</t>
        </is>
      </c>
      <c r="G166" t="inlineStr">
        <is>
          <t>NÄSSJÖ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45182</v>
      </c>
      <c r="E167" s="1" t="n">
        <v>46230</v>
      </c>
      <c r="F167" t="inlineStr">
        <is>
          <t>JÖNKÖPINGS LÄN</t>
        </is>
      </c>
      <c r="G167" t="inlineStr">
        <is>
          <t>NÄSSJÖ</t>
        </is>
      </c>
      <c r="H167" t="inlineStr">
        <is>
          <t>Övriga Aktiebolag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45188</v>
      </c>
      <c r="E168" s="1" t="n">
        <v>46230</v>
      </c>
      <c r="F168" t="inlineStr">
        <is>
          <t>JÖNKÖPINGS LÄN</t>
        </is>
      </c>
      <c r="G168" t="inlineStr">
        <is>
          <t>NÄSSJÖ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46230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44453</v>
      </c>
      <c r="E170" s="1" t="n">
        <v>46230</v>
      </c>
      <c r="F170" t="inlineStr">
        <is>
          <t>JÖNKÖPINGS LÄN</t>
        </is>
      </c>
      <c r="G170" t="inlineStr">
        <is>
          <t>NÄSSJÖ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45402</v>
      </c>
      <c r="E171" s="1" t="n">
        <v>46230</v>
      </c>
      <c r="F171" t="inlineStr">
        <is>
          <t>JÖNKÖPINGS LÄN</t>
        </is>
      </c>
      <c r="G171" t="inlineStr">
        <is>
          <t>NÄSSJÖ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46230</v>
      </c>
      <c r="F172" t="inlineStr">
        <is>
          <t>JÖNKÖPINGS LÄN</t>
        </is>
      </c>
      <c r="G172" t="inlineStr">
        <is>
          <t>NÄSSJÖ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46230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45046</v>
      </c>
      <c r="E174" s="1" t="n">
        <v>46230</v>
      </c>
      <c r="F174" t="inlineStr">
        <is>
          <t>JÖNKÖPINGS LÄN</t>
        </is>
      </c>
      <c r="G174" t="inlineStr">
        <is>
          <t>NÄSSJÖ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44945</v>
      </c>
      <c r="E175" s="1" t="n">
        <v>46230</v>
      </c>
      <c r="F175" t="inlineStr">
        <is>
          <t>JÖNKÖPINGS LÄN</t>
        </is>
      </c>
      <c r="G175" t="inlineStr">
        <is>
          <t>NÄSSJÖ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46230</v>
      </c>
      <c r="F176" t="inlineStr">
        <is>
          <t>JÖNKÖPINGS LÄN</t>
        </is>
      </c>
      <c r="G176" t="inlineStr">
        <is>
          <t>NÄSSJÖ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44699</v>
      </c>
      <c r="E177" s="1" t="n">
        <v>46230</v>
      </c>
      <c r="F177" t="inlineStr">
        <is>
          <t>JÖNKÖPINGS LÄN</t>
        </is>
      </c>
      <c r="G177" t="inlineStr">
        <is>
          <t>NÄSSJÖ</t>
        </is>
      </c>
      <c r="I177" t="n">
        <v>11.3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46230</v>
      </c>
      <c r="F178" t="inlineStr">
        <is>
          <t>JÖNKÖPINGS LÄN</t>
        </is>
      </c>
      <c r="G178" t="inlineStr">
        <is>
          <t>NÄSSJÖ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45732</v>
      </c>
      <c r="E179" s="1" t="n">
        <v>46230</v>
      </c>
      <c r="F179" t="inlineStr">
        <is>
          <t>JÖNKÖPINGS LÄN</t>
        </is>
      </c>
      <c r="G179" t="inlineStr">
        <is>
          <t>NÄSSJÖ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46230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46230</v>
      </c>
      <c r="F181" t="inlineStr">
        <is>
          <t>JÖNKÖPINGS LÄN</t>
        </is>
      </c>
      <c r="G181" t="inlineStr">
        <is>
          <t>NÄSSJÖ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46230</v>
      </c>
      <c r="F182" t="inlineStr">
        <is>
          <t>JÖNKÖPINGS LÄN</t>
        </is>
      </c>
      <c r="G182" t="inlineStr">
        <is>
          <t>NÄSSJÖ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46230</v>
      </c>
      <c r="F183" t="inlineStr">
        <is>
          <t>JÖNKÖPINGS LÄN</t>
        </is>
      </c>
      <c r="G183" t="inlineStr">
        <is>
          <t>NÄSSJÖ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45880</v>
      </c>
      <c r="E184" s="1" t="n">
        <v>46230</v>
      </c>
      <c r="F184" t="inlineStr">
        <is>
          <t>JÖNKÖPINGS LÄN</t>
        </is>
      </c>
      <c r="G184" t="inlineStr">
        <is>
          <t>NÄSSJÖ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45881</v>
      </c>
      <c r="E185" s="1" t="n">
        <v>46230</v>
      </c>
      <c r="F185" t="inlineStr">
        <is>
          <t>JÖNKÖPINGS LÄN</t>
        </is>
      </c>
      <c r="G185" t="inlineStr">
        <is>
          <t>NÄSSJÖ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46230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45880</v>
      </c>
      <c r="E187" s="1" t="n">
        <v>46230</v>
      </c>
      <c r="F187" t="inlineStr">
        <is>
          <t>JÖNKÖPINGS LÄN</t>
        </is>
      </c>
      <c r="G187" t="inlineStr">
        <is>
          <t>NÄSSJÖ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46230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45488</v>
      </c>
      <c r="E189" s="1" t="n">
        <v>46230</v>
      </c>
      <c r="F189" t="inlineStr">
        <is>
          <t>JÖNKÖPINGS LÄN</t>
        </is>
      </c>
      <c r="G189" t="inlineStr">
        <is>
          <t>NÄSSJÖ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46020</v>
      </c>
      <c r="E190" s="1" t="n">
        <v>46230</v>
      </c>
      <c r="F190" t="inlineStr">
        <is>
          <t>JÖNKÖPINGS LÄN</t>
        </is>
      </c>
      <c r="G190" t="inlineStr">
        <is>
          <t>NÄSSJÖ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46230</v>
      </c>
      <c r="F191" t="inlineStr">
        <is>
          <t>JÖNKÖPINGS LÄN</t>
        </is>
      </c>
      <c r="G191" t="inlineStr">
        <is>
          <t>NÄSSJÖ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46230</v>
      </c>
      <c r="F192" t="inlineStr">
        <is>
          <t>JÖNKÖPINGS LÄN</t>
        </is>
      </c>
      <c r="G192" t="inlineStr">
        <is>
          <t>NÄSSJÖ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46230</v>
      </c>
      <c r="F193" t="inlineStr">
        <is>
          <t>JÖNKÖPINGS LÄN</t>
        </is>
      </c>
      <c r="G193" t="inlineStr">
        <is>
          <t>NÄSSJÖ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46230</v>
      </c>
      <c r="F194" t="inlineStr">
        <is>
          <t>JÖNKÖPINGS LÄN</t>
        </is>
      </c>
      <c r="G194" t="inlineStr">
        <is>
          <t>NÄSSJÖ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46230</v>
      </c>
      <c r="F195" t="inlineStr">
        <is>
          <t>JÖNKÖPINGS LÄN</t>
        </is>
      </c>
      <c r="G195" t="inlineStr">
        <is>
          <t>NÄSSJÖ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46230</v>
      </c>
      <c r="F196" t="inlineStr">
        <is>
          <t>JÖNKÖPINGS LÄN</t>
        </is>
      </c>
      <c r="G196" t="inlineStr">
        <is>
          <t>NÄSSJÖ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39555-2025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46230</v>
      </c>
      <c r="F197" t="inlineStr">
        <is>
          <t>JÖNKÖPINGS LÄN</t>
        </is>
      </c>
      <c r="G197" t="inlineStr">
        <is>
          <t>NÄSSJÖ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44928</v>
      </c>
      <c r="E198" s="1" t="n">
        <v>46230</v>
      </c>
      <c r="F198" t="inlineStr">
        <is>
          <t>JÖNKÖPINGS LÄN</t>
        </is>
      </c>
      <c r="G198" t="inlineStr">
        <is>
          <t>NÄSSJÖ</t>
        </is>
      </c>
      <c r="I198" t="n">
        <v>13.7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46230</v>
      </c>
      <c r="F199" t="inlineStr">
        <is>
          <t>JÖNKÖPINGS LÄN</t>
        </is>
      </c>
      <c r="G199" t="inlineStr">
        <is>
          <t>NÄSSJÖ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46230</v>
      </c>
      <c r="F200" t="inlineStr">
        <is>
          <t>JÖNKÖPINGS LÄN</t>
        </is>
      </c>
      <c r="G200" t="inlineStr">
        <is>
          <t>NÄSSJÖ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45732</v>
      </c>
      <c r="E201" s="1" t="n">
        <v>46230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46230</v>
      </c>
      <c r="F202" t="inlineStr">
        <is>
          <t>JÖNKÖPINGS LÄN</t>
        </is>
      </c>
      <c r="G202" t="inlineStr">
        <is>
          <t>NÄSSJÖ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44487</v>
      </c>
      <c r="E203" s="1" t="n">
        <v>46230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46230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46230</v>
      </c>
      <c r="F205" t="inlineStr">
        <is>
          <t>JÖNKÖPINGS LÄN</t>
        </is>
      </c>
      <c r="G205" t="inlineStr">
        <is>
          <t>NÄSSJÖ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46230</v>
      </c>
      <c r="F206" t="inlineStr">
        <is>
          <t>JÖNKÖPINGS LÄN</t>
        </is>
      </c>
      <c r="G206" t="inlineStr">
        <is>
          <t>NÄSSJÖ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45899</v>
      </c>
      <c r="E207" s="1" t="n">
        <v>46230</v>
      </c>
      <c r="F207" t="inlineStr">
        <is>
          <t>JÖNKÖPINGS LÄN</t>
        </is>
      </c>
      <c r="G207" t="inlineStr">
        <is>
          <t>NÄSSJÖ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46230</v>
      </c>
      <c r="F208" t="inlineStr">
        <is>
          <t>JÖNKÖPINGS LÄN</t>
        </is>
      </c>
      <c r="G208" t="inlineStr">
        <is>
          <t>NÄSSJÖ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46230</v>
      </c>
      <c r="F209" t="inlineStr">
        <is>
          <t>JÖNKÖPINGS LÄN</t>
        </is>
      </c>
      <c r="G209" t="inlineStr">
        <is>
          <t>NÄSSJÖ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46230</v>
      </c>
      <c r="F210" t="inlineStr">
        <is>
          <t>JÖNKÖPINGS LÄN</t>
        </is>
      </c>
      <c r="G210" t="inlineStr">
        <is>
          <t>NÄSSJÖ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46230</v>
      </c>
      <c r="F211" t="inlineStr">
        <is>
          <t>JÖNKÖPINGS LÄN</t>
        </is>
      </c>
      <c r="G211" t="inlineStr">
        <is>
          <t>NÄSSJÖ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46230</v>
      </c>
      <c r="F212" t="inlineStr">
        <is>
          <t>JÖNKÖPINGS LÄN</t>
        </is>
      </c>
      <c r="G212" t="inlineStr">
        <is>
          <t>NÄSSJÖ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45907</v>
      </c>
      <c r="E213" s="1" t="n">
        <v>46230</v>
      </c>
      <c r="F213" t="inlineStr">
        <is>
          <t>JÖNKÖPINGS LÄN</t>
        </is>
      </c>
      <c r="G213" t="inlineStr">
        <is>
          <t>NÄSSJÖ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45907</v>
      </c>
      <c r="E214" s="1" t="n">
        <v>46230</v>
      </c>
      <c r="F214" t="inlineStr">
        <is>
          <t>JÖNKÖPINGS LÄN</t>
        </is>
      </c>
      <c r="G214" t="inlineStr">
        <is>
          <t>NÄSSJÖ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46230</v>
      </c>
      <c r="F215" t="inlineStr">
        <is>
          <t>JÖNKÖPINGS LÄN</t>
        </is>
      </c>
      <c r="G215" t="inlineStr">
        <is>
          <t>NÄSSJÖ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45760</v>
      </c>
      <c r="E216" s="1" t="n">
        <v>46230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46230</v>
      </c>
      <c r="F217" t="inlineStr">
        <is>
          <t>JÖNKÖPINGS LÄN</t>
        </is>
      </c>
      <c r="G217" t="inlineStr">
        <is>
          <t>NÄSSJÖ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46230</v>
      </c>
      <c r="F218" t="inlineStr">
        <is>
          <t>JÖNKÖPINGS LÄN</t>
        </is>
      </c>
      <c r="G218" t="inlineStr">
        <is>
          <t>NÄSSJÖ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46230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54303-2021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44472</v>
      </c>
      <c r="E220" s="1" t="n">
        <v>46230</v>
      </c>
      <c r="F220" t="inlineStr">
        <is>
          <t>JÖNKÖPINGS LÄN</t>
        </is>
      </c>
      <c r="G220" t="inlineStr">
        <is>
          <t>NÄSSJÖ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46230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46230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46230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45343</v>
      </c>
      <c r="E224" s="1" t="n">
        <v>46230</v>
      </c>
      <c r="F224" t="inlineStr">
        <is>
          <t>JÖNKÖPINGS LÄN</t>
        </is>
      </c>
      <c r="G224" t="inlineStr">
        <is>
          <t>NÄSSJÖ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29002-2025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46230</v>
      </c>
      <c r="F225" t="inlineStr">
        <is>
          <t>JÖNKÖPINGS LÄN</t>
        </is>
      </c>
      <c r="G225" t="inlineStr">
        <is>
          <t>NÄSSJÖ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46230</v>
      </c>
      <c r="F226" t="inlineStr">
        <is>
          <t>JÖNKÖPINGS LÄN</t>
        </is>
      </c>
      <c r="G226" t="inlineStr">
        <is>
          <t>NÄSSJÖ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46230</v>
      </c>
      <c r="F227" t="inlineStr">
        <is>
          <t>JÖNKÖPINGS LÄN</t>
        </is>
      </c>
      <c r="G227" t="inlineStr">
        <is>
          <t>NÄSSJÖ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45083</v>
      </c>
      <c r="E228" s="1" t="n">
        <v>46230</v>
      </c>
      <c r="F228" t="inlineStr">
        <is>
          <t>JÖNKÖPINGS LÄN</t>
        </is>
      </c>
      <c r="G228" t="inlineStr">
        <is>
          <t>NÄSSJÖ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46230</v>
      </c>
      <c r="F229" t="inlineStr">
        <is>
          <t>JÖNKÖPINGS LÄN</t>
        </is>
      </c>
      <c r="G229" t="inlineStr">
        <is>
          <t>NÄSSJÖ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44946</v>
      </c>
      <c r="E230" s="1" t="n">
        <v>46230</v>
      </c>
      <c r="F230" t="inlineStr">
        <is>
          <t>JÖNKÖPINGS LÄN</t>
        </is>
      </c>
      <c r="G230" t="inlineStr">
        <is>
          <t>NÄSSJÖ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45917</v>
      </c>
      <c r="E231" s="1" t="n">
        <v>46230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45460</v>
      </c>
      <c r="E232" s="1" t="n">
        <v>46230</v>
      </c>
      <c r="F232" t="inlineStr">
        <is>
          <t>JÖNKÖPINGS LÄN</t>
        </is>
      </c>
      <c r="G232" t="inlineStr">
        <is>
          <t>NÄSSJÖ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46230</v>
      </c>
      <c r="F233" t="inlineStr">
        <is>
          <t>JÖNKÖPINGS LÄN</t>
        </is>
      </c>
      <c r="G233" t="inlineStr">
        <is>
          <t>NÄSSJÖ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46230</v>
      </c>
      <c r="F234" t="inlineStr">
        <is>
          <t>JÖNKÖPINGS LÄN</t>
        </is>
      </c>
      <c r="G234" t="inlineStr">
        <is>
          <t>NÄSSJÖ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46230</v>
      </c>
      <c r="F235" t="inlineStr">
        <is>
          <t>JÖNKÖPINGS LÄN</t>
        </is>
      </c>
      <c r="G235" t="inlineStr">
        <is>
          <t>NÄSSJÖ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45047-2025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46230</v>
      </c>
      <c r="F236" t="inlineStr">
        <is>
          <t>JÖNKÖPINGS LÄN</t>
        </is>
      </c>
      <c r="G236" t="inlineStr">
        <is>
          <t>NÄSSJÖ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45370</v>
      </c>
      <c r="E237" s="1" t="n">
        <v>46230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44594</v>
      </c>
      <c r="E238" s="1" t="n">
        <v>46230</v>
      </c>
      <c r="F238" t="inlineStr">
        <is>
          <t>JÖNKÖPINGS LÄN</t>
        </is>
      </c>
      <c r="G238" t="inlineStr">
        <is>
          <t>NÄSSJÖ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46230</v>
      </c>
      <c r="F239" t="inlineStr">
        <is>
          <t>JÖNKÖPINGS LÄN</t>
        </is>
      </c>
      <c r="G239" t="inlineStr">
        <is>
          <t>NÄSSJÖ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46230</v>
      </c>
      <c r="F240" t="inlineStr">
        <is>
          <t>JÖNKÖPINGS LÄN</t>
        </is>
      </c>
      <c r="G240" t="inlineStr">
        <is>
          <t>NÄSSJÖ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45083</v>
      </c>
      <c r="E241" s="1" t="n">
        <v>46230</v>
      </c>
      <c r="F241" t="inlineStr">
        <is>
          <t>JÖNKÖPINGS LÄN</t>
        </is>
      </c>
      <c r="G241" t="inlineStr">
        <is>
          <t>NÄSSJÖ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46230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46230</v>
      </c>
      <c r="F243" t="inlineStr">
        <is>
          <t>JÖNKÖPINGS LÄN</t>
        </is>
      </c>
      <c r="G243" t="inlineStr">
        <is>
          <t>NÄSSJÖ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46230</v>
      </c>
      <c r="F244" t="inlineStr">
        <is>
          <t>JÖNKÖPINGS LÄN</t>
        </is>
      </c>
      <c r="G244" t="inlineStr">
        <is>
          <t>NÄSSJÖ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46230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46230</v>
      </c>
      <c r="F246" t="inlineStr">
        <is>
          <t>JÖNKÖPINGS LÄN</t>
        </is>
      </c>
      <c r="G246" t="inlineStr">
        <is>
          <t>NÄSSJÖ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46230</v>
      </c>
      <c r="F247" t="inlineStr">
        <is>
          <t>JÖNKÖPINGS LÄN</t>
        </is>
      </c>
      <c r="G247" t="inlineStr">
        <is>
          <t>NÄSSJÖ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46230</v>
      </c>
      <c r="F248" t="inlineStr">
        <is>
          <t>JÖNKÖPINGS LÄN</t>
        </is>
      </c>
      <c r="G248" t="inlineStr">
        <is>
          <t>NÄSSJÖ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46230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46230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46230</v>
      </c>
      <c r="F251" t="inlineStr">
        <is>
          <t>JÖNKÖPINGS LÄN</t>
        </is>
      </c>
      <c r="G251" t="inlineStr">
        <is>
          <t>NÄSSJÖ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46230</v>
      </c>
      <c r="F252" t="inlineStr">
        <is>
          <t>JÖNKÖPINGS LÄN</t>
        </is>
      </c>
      <c r="G252" t="inlineStr">
        <is>
          <t>NÄSSJÖ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46230</v>
      </c>
      <c r="F253" t="inlineStr">
        <is>
          <t>JÖNKÖPINGS LÄN</t>
        </is>
      </c>
      <c r="G253" t="inlineStr">
        <is>
          <t>NÄSSJÖ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45733</v>
      </c>
      <c r="E254" s="1" t="n">
        <v>46230</v>
      </c>
      <c r="F254" t="inlineStr">
        <is>
          <t>JÖNKÖPINGS LÄN</t>
        </is>
      </c>
      <c r="G254" t="inlineStr">
        <is>
          <t>NÄSSJÖ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46140</v>
      </c>
      <c r="E255" s="1" t="n">
        <v>46230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44980</v>
      </c>
      <c r="E256" s="1" t="n">
        <v>46230</v>
      </c>
      <c r="F256" t="inlineStr">
        <is>
          <t>JÖNKÖPINGS LÄN</t>
        </is>
      </c>
      <c r="G256" t="inlineStr">
        <is>
          <t>NÄSSJÖ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46230</v>
      </c>
      <c r="F257" t="inlineStr">
        <is>
          <t>JÖNKÖPINGS LÄN</t>
        </is>
      </c>
      <c r="G257" t="inlineStr">
        <is>
          <t>NÄSSJÖ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45361</v>
      </c>
      <c r="E258" s="1" t="n">
        <v>46230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71606-2021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44541</v>
      </c>
      <c r="E259" s="1" t="n">
        <v>46230</v>
      </c>
      <c r="F259" t="inlineStr">
        <is>
          <t>JÖNKÖPINGS LÄN</t>
        </is>
      </c>
      <c r="G259" t="inlineStr">
        <is>
          <t>NÄSSJÖ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45942</v>
      </c>
      <c r="E260" s="1" t="n">
        <v>46230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50219-2025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45943</v>
      </c>
      <c r="E261" s="1" t="n">
        <v>46230</v>
      </c>
      <c r="F261" t="inlineStr">
        <is>
          <t>JÖNKÖPINGS LÄN</t>
        </is>
      </c>
      <c r="G261" t="inlineStr">
        <is>
          <t>NÄSSJÖ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46230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44867</v>
      </c>
      <c r="E263" s="1" t="n">
        <v>46230</v>
      </c>
      <c r="F263" t="inlineStr">
        <is>
          <t>JÖNKÖPINGS LÄN</t>
        </is>
      </c>
      <c r="G263" t="inlineStr">
        <is>
          <t>NÄSSJÖ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46230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45944</v>
      </c>
      <c r="E265" s="1" t="n">
        <v>46230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44776</v>
      </c>
      <c r="E266" s="1" t="n">
        <v>46230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46230</v>
      </c>
      <c r="F267" t="inlineStr">
        <is>
          <t>JÖNKÖPINGS LÄN</t>
        </is>
      </c>
      <c r="G267" t="inlineStr">
        <is>
          <t>NÄSSJÖ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46230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46230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46230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46230</v>
      </c>
      <c r="F271" t="inlineStr">
        <is>
          <t>JÖNKÖPINGS LÄN</t>
        </is>
      </c>
      <c r="G271" t="inlineStr">
        <is>
          <t>NÄSSJÖ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46230</v>
      </c>
      <c r="F272" t="inlineStr">
        <is>
          <t>JÖNKÖPINGS LÄN</t>
        </is>
      </c>
      <c r="G272" t="inlineStr">
        <is>
          <t>NÄSSJÖ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46230</v>
      </c>
      <c r="F273" t="inlineStr">
        <is>
          <t>JÖNKÖPINGS LÄN</t>
        </is>
      </c>
      <c r="G273" t="inlineStr">
        <is>
          <t>NÄSSJÖ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46230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7151-2025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45702</v>
      </c>
      <c r="E275" s="1" t="n">
        <v>46230</v>
      </c>
      <c r="F275" t="inlineStr">
        <is>
          <t>JÖNKÖPINGS LÄN</t>
        </is>
      </c>
      <c r="G275" t="inlineStr">
        <is>
          <t>NÄSSJÖ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46230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46187</v>
      </c>
      <c r="E277" s="1" t="n">
        <v>46230</v>
      </c>
      <c r="F277" t="inlineStr">
        <is>
          <t>JÖNKÖPINGS LÄN</t>
        </is>
      </c>
      <c r="G277" t="inlineStr">
        <is>
          <t>NÄSSJÖ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45212</v>
      </c>
      <c r="E278" s="1" t="n">
        <v>46230</v>
      </c>
      <c r="F278" t="inlineStr">
        <is>
          <t>JÖNKÖPINGS LÄN</t>
        </is>
      </c>
      <c r="G278" t="inlineStr">
        <is>
          <t>NÄSSJÖ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45363</v>
      </c>
      <c r="E279" s="1" t="n">
        <v>46230</v>
      </c>
      <c r="F279" t="inlineStr">
        <is>
          <t>JÖNKÖPINGS LÄN</t>
        </is>
      </c>
      <c r="G279" t="inlineStr">
        <is>
          <t>NÄSSJÖ</t>
        </is>
      </c>
      <c r="H279" t="inlineStr">
        <is>
          <t>Kommuner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46230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46187</v>
      </c>
      <c r="E281" s="1" t="n">
        <v>46230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46187</v>
      </c>
      <c r="E282" s="1" t="n">
        <v>46230</v>
      </c>
      <c r="F282" t="inlineStr">
        <is>
          <t>JÖNKÖPINGS LÄN</t>
        </is>
      </c>
      <c r="G282" t="inlineStr">
        <is>
          <t>NÄSSJÖ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45391</v>
      </c>
      <c r="E283" s="1" t="n">
        <v>46230</v>
      </c>
      <c r="F283" t="inlineStr">
        <is>
          <t>JÖNKÖPINGS LÄN</t>
        </is>
      </c>
      <c r="G283" t="inlineStr">
        <is>
          <t>NÄSSJÖ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45391</v>
      </c>
      <c r="E284" s="1" t="n">
        <v>46230</v>
      </c>
      <c r="F284" t="inlineStr">
        <is>
          <t>JÖNKÖPINGS LÄN</t>
        </is>
      </c>
      <c r="G284" t="inlineStr">
        <is>
          <t>NÄSSJÖ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46190</v>
      </c>
      <c r="E285" s="1" t="n">
        <v>46230</v>
      </c>
      <c r="F285" t="inlineStr">
        <is>
          <t>JÖNKÖPINGS LÄN</t>
        </is>
      </c>
      <c r="G285" t="inlineStr">
        <is>
          <t>NÄSSJÖ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46230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46230</v>
      </c>
      <c r="F287" t="inlineStr">
        <is>
          <t>JÖNKÖPINGS LÄN</t>
        </is>
      </c>
      <c r="G287" t="inlineStr">
        <is>
          <t>NÄSSJÖ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46230</v>
      </c>
      <c r="F288" t="inlineStr">
        <is>
          <t>JÖNKÖPINGS LÄN</t>
        </is>
      </c>
      <c r="G288" t="inlineStr">
        <is>
          <t>NÄSSJÖ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46230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45279</v>
      </c>
      <c r="E290" s="1" t="n">
        <v>46230</v>
      </c>
      <c r="F290" t="inlineStr">
        <is>
          <t>JÖNKÖPINGS LÄN</t>
        </is>
      </c>
      <c r="G290" t="inlineStr">
        <is>
          <t>NÄSSJÖ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45188</v>
      </c>
      <c r="E291" s="1" t="n">
        <v>46230</v>
      </c>
      <c r="F291" t="inlineStr">
        <is>
          <t>JÖNKÖPINGS LÄN</t>
        </is>
      </c>
      <c r="G291" t="inlineStr">
        <is>
          <t>NÄSSJÖ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44804</v>
      </c>
      <c r="E292" s="1" t="n">
        <v>46230</v>
      </c>
      <c r="F292" t="inlineStr">
        <is>
          <t>JÖNKÖPINGS LÄN</t>
        </is>
      </c>
      <c r="G292" t="inlineStr">
        <is>
          <t>NÄSSJÖ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56411-2024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45625</v>
      </c>
      <c r="E293" s="1" t="n">
        <v>46230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46230</v>
      </c>
      <c r="F294" t="inlineStr">
        <is>
          <t>JÖNKÖPINGS LÄN</t>
        </is>
      </c>
      <c r="G294" t="inlineStr">
        <is>
          <t>NÄSSJÖ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44432</v>
      </c>
      <c r="E295" s="1" t="n">
        <v>46230</v>
      </c>
      <c r="F295" t="inlineStr">
        <is>
          <t>JÖNKÖPINGS LÄN</t>
        </is>
      </c>
      <c r="G295" t="inlineStr">
        <is>
          <t>NÄSSJÖ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46230</v>
      </c>
      <c r="F296" t="inlineStr">
        <is>
          <t>JÖNKÖPINGS LÄN</t>
        </is>
      </c>
      <c r="G296" t="inlineStr">
        <is>
          <t>NÄSSJÖ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  <c r="Z296">
        <f>HYPERLINK("https://klasma.github.io/Logging_0682/knärot/A 56586-2025 karta knärot.png", "A 56586-2025")</f>
        <v/>
      </c>
      <c r="AA296">
        <f>HYPERLINK("https://klasma.github.io/Logging_0682/klagomål/A 56586-2025 FSC-klagomål.docx", "A 56586-2025")</f>
        <v/>
      </c>
      <c r="AB296">
        <f>HYPERLINK("https://klasma.github.io/Logging_0682/klagomålsmail/A 56586-2025 FSC-klagomål mail.docx", "A 56586-2025")</f>
        <v/>
      </c>
      <c r="AC296">
        <f>HYPERLINK("https://klasma.github.io/Logging_0682/tillsyn/A 56586-2025 tillsynsbegäran.docx", "A 56586-2025")</f>
        <v/>
      </c>
      <c r="AD296">
        <f>HYPERLINK("https://klasma.github.io/Logging_0682/tillsynsmail/A 56586-2025 tillsynsbegäran mail.docx", "A 56586-2025")</f>
        <v/>
      </c>
    </row>
    <row r="297" ht="15" customHeight="1">
      <c r="A297" t="inlineStr">
        <is>
          <t>A 23570-2024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45454</v>
      </c>
      <c r="E297" s="1" t="n">
        <v>46230</v>
      </c>
      <c r="F297" t="inlineStr">
        <is>
          <t>JÖNKÖPINGS LÄN</t>
        </is>
      </c>
      <c r="G297" t="inlineStr">
        <is>
          <t>NÄSSJÖ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45112</v>
      </c>
      <c r="E298" s="1" t="n">
        <v>46230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46230</v>
      </c>
      <c r="F299" t="inlineStr">
        <is>
          <t>JÖNKÖPINGS LÄN</t>
        </is>
      </c>
      <c r="G299" t="inlineStr">
        <is>
          <t>NÄSSJÖ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46230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44858</v>
      </c>
      <c r="E301" s="1" t="n">
        <v>46230</v>
      </c>
      <c r="F301" t="inlineStr">
        <is>
          <t>JÖNKÖPINGS LÄN</t>
        </is>
      </c>
      <c r="G301" t="inlineStr">
        <is>
          <t>NÄSSJÖ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46230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45460</v>
      </c>
      <c r="E303" s="1" t="n">
        <v>46230</v>
      </c>
      <c r="F303" t="inlineStr">
        <is>
          <t>JÖNKÖPINGS LÄN</t>
        </is>
      </c>
      <c r="G303" t="inlineStr">
        <is>
          <t>NÄSSJÖ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46230</v>
      </c>
      <c r="F304" t="inlineStr">
        <is>
          <t>JÖNKÖPINGS LÄN</t>
        </is>
      </c>
      <c r="G304" t="inlineStr">
        <is>
          <t>NÄSSJÖ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46230</v>
      </c>
      <c r="F305" t="inlineStr">
        <is>
          <t>JÖNKÖPINGS LÄN</t>
        </is>
      </c>
      <c r="G305" t="inlineStr">
        <is>
          <t>NÄSSJÖ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46230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46230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46230</v>
      </c>
      <c r="F308" t="inlineStr">
        <is>
          <t>JÖNKÖPINGS LÄN</t>
        </is>
      </c>
      <c r="G308" t="inlineStr">
        <is>
          <t>NÄSSJÖ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43156-2024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46230</v>
      </c>
      <c r="F309" t="inlineStr">
        <is>
          <t>JÖNKÖPINGS LÄN</t>
        </is>
      </c>
      <c r="G309" t="inlineStr">
        <is>
          <t>NÄSSJÖ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46230</v>
      </c>
      <c r="F310" t="inlineStr">
        <is>
          <t>JÖNKÖPINGS LÄN</t>
        </is>
      </c>
      <c r="G310" t="inlineStr">
        <is>
          <t>NÄSSJÖ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45169</v>
      </c>
      <c r="E311" s="1" t="n">
        <v>46230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46230</v>
      </c>
      <c r="F312" t="inlineStr">
        <is>
          <t>JÖNKÖPINGS LÄN</t>
        </is>
      </c>
      <c r="G312" t="inlineStr">
        <is>
          <t>NÄSSJÖ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46230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46230</v>
      </c>
      <c r="F314" t="inlineStr">
        <is>
          <t>JÖNKÖPINGS LÄN</t>
        </is>
      </c>
      <c r="G314" t="inlineStr">
        <is>
          <t>NÄSSJÖ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46230</v>
      </c>
      <c r="F315" t="inlineStr">
        <is>
          <t>JÖNKÖPINGS LÄN</t>
        </is>
      </c>
      <c r="G315" t="inlineStr">
        <is>
          <t>NÄSSJÖ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46230</v>
      </c>
      <c r="F316" t="inlineStr">
        <is>
          <t>JÖNKÖPINGS LÄN</t>
        </is>
      </c>
      <c r="G316" t="inlineStr">
        <is>
          <t>NÄSSJÖ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45760</v>
      </c>
      <c r="E317" s="1" t="n">
        <v>46230</v>
      </c>
      <c r="F317" t="inlineStr">
        <is>
          <t>JÖNKÖPINGS LÄN</t>
        </is>
      </c>
      <c r="G317" t="inlineStr">
        <is>
          <t>NÄSSJÖ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46230</v>
      </c>
      <c r="F318" t="inlineStr">
        <is>
          <t>JÖNKÖPINGS LÄN</t>
        </is>
      </c>
      <c r="G318" t="inlineStr">
        <is>
          <t>NÄSSJÖ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46230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46230</v>
      </c>
      <c r="F320" t="inlineStr">
        <is>
          <t>JÖNKÖPINGS LÄN</t>
        </is>
      </c>
      <c r="G320" t="inlineStr">
        <is>
          <t>NÄSSJÖ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60535-2025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45995</v>
      </c>
      <c r="E321" s="1" t="n">
        <v>46230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46230</v>
      </c>
      <c r="F322" t="inlineStr">
        <is>
          <t>JÖNKÖPINGS LÄN</t>
        </is>
      </c>
      <c r="G322" t="inlineStr">
        <is>
          <t>NÄSSJÖ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46230</v>
      </c>
      <c r="F323" t="inlineStr">
        <is>
          <t>JÖNKÖPINGS LÄN</t>
        </is>
      </c>
      <c r="G323" t="inlineStr">
        <is>
          <t>NÄSSJÖ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46230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15862-2022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44664</v>
      </c>
      <c r="E325" s="1" t="n">
        <v>46230</v>
      </c>
      <c r="F325" t="inlineStr">
        <is>
          <t>JÖNKÖPINGS LÄN</t>
        </is>
      </c>
      <c r="G325" t="inlineStr">
        <is>
          <t>NÄSSJÖ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57760-2024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45630</v>
      </c>
      <c r="E326" s="1" t="n">
        <v>46230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46230</v>
      </c>
      <c r="F327" t="inlineStr">
        <is>
          <t>JÖNKÖPINGS LÄN</t>
        </is>
      </c>
      <c r="G327" t="inlineStr">
        <is>
          <t>NÄSSJÖ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46230</v>
      </c>
      <c r="F328" t="inlineStr">
        <is>
          <t>JÖNKÖPINGS LÄN</t>
        </is>
      </c>
      <c r="G328" t="inlineStr">
        <is>
          <t>NÄSSJÖ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45091</v>
      </c>
      <c r="E329" s="1" t="n">
        <v>46230</v>
      </c>
      <c r="F329" t="inlineStr">
        <is>
          <t>JÖNKÖPINGS LÄN</t>
        </is>
      </c>
      <c r="G329" t="inlineStr">
        <is>
          <t>NÄSSJÖ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45610</v>
      </c>
      <c r="E330" s="1" t="n">
        <v>46230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46230</v>
      </c>
      <c r="F331" t="inlineStr">
        <is>
          <t>JÖNKÖPINGS LÄN</t>
        </is>
      </c>
      <c r="G331" t="inlineStr">
        <is>
          <t>NÄSSJÖ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46230</v>
      </c>
      <c r="F332" t="inlineStr">
        <is>
          <t>JÖNKÖPINGS LÄN</t>
        </is>
      </c>
      <c r="G332" t="inlineStr">
        <is>
          <t>NÄSSJÖ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44974</v>
      </c>
      <c r="E333" s="1" t="n">
        <v>46230</v>
      </c>
      <c r="F333" t="inlineStr">
        <is>
          <t>JÖNKÖPINGS LÄN</t>
        </is>
      </c>
      <c r="G333" t="inlineStr">
        <is>
          <t>NÄSSJÖ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46230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46230</v>
      </c>
      <c r="F335" t="inlineStr">
        <is>
          <t>JÖNKÖPINGS LÄN</t>
        </is>
      </c>
      <c r="G335" t="inlineStr">
        <is>
          <t>NÄSSJÖ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46230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46230</v>
      </c>
      <c r="F337" t="inlineStr">
        <is>
          <t>JÖNKÖPINGS LÄN</t>
        </is>
      </c>
      <c r="G337" t="inlineStr">
        <is>
          <t>NÄSSJÖ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46230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46196</v>
      </c>
      <c r="E339" s="1" t="n">
        <v>46230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48479-2022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44858</v>
      </c>
      <c r="E340" s="1" t="n">
        <v>46230</v>
      </c>
      <c r="F340" t="inlineStr">
        <is>
          <t>JÖNKÖPINGS LÄN</t>
        </is>
      </c>
      <c r="G340" t="inlineStr">
        <is>
          <t>NÄSSJÖ</t>
        </is>
      </c>
      <c r="H340" t="inlineStr">
        <is>
          <t>Kommuner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46230</v>
      </c>
      <c r="F341" t="inlineStr">
        <is>
          <t>JÖNKÖPINGS LÄN</t>
        </is>
      </c>
      <c r="G341" t="inlineStr">
        <is>
          <t>NÄSSJÖ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45270</v>
      </c>
      <c r="E342" s="1" t="n">
        <v>46230</v>
      </c>
      <c r="F342" t="inlineStr">
        <is>
          <t>JÖNKÖPINGS LÄN</t>
        </is>
      </c>
      <c r="G342" t="inlineStr">
        <is>
          <t>NÄSSJÖ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46230</v>
      </c>
      <c r="F343" t="inlineStr">
        <is>
          <t>JÖNKÖPINGS LÄN</t>
        </is>
      </c>
      <c r="G343" t="inlineStr">
        <is>
          <t>NÄSSJÖ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46230</v>
      </c>
      <c r="F344" t="inlineStr">
        <is>
          <t>JÖNKÖPINGS LÄN</t>
        </is>
      </c>
      <c r="G344" t="inlineStr">
        <is>
          <t>NÄSSJÖ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46230</v>
      </c>
      <c r="F345" t="inlineStr">
        <is>
          <t>JÖNKÖPINGS LÄN</t>
        </is>
      </c>
      <c r="G345" t="inlineStr">
        <is>
          <t>NÄSSJÖ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44442</v>
      </c>
      <c r="E346" s="1" t="n">
        <v>46230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46230</v>
      </c>
      <c r="F347" t="inlineStr">
        <is>
          <t>JÖNKÖPINGS LÄN</t>
        </is>
      </c>
      <c r="G347" t="inlineStr">
        <is>
          <t>NÄSSJÖ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46230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46230</v>
      </c>
      <c r="F349" t="inlineStr">
        <is>
          <t>JÖNKÖPINGS LÄN</t>
        </is>
      </c>
      <c r="G349" t="inlineStr">
        <is>
          <t>NÄSSJÖ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45380</v>
      </c>
      <c r="E350" s="1" t="n">
        <v>46230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46230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45604</v>
      </c>
      <c r="E352" s="1" t="n">
        <v>46230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45257</v>
      </c>
      <c r="E353" s="1" t="n">
        <v>46230</v>
      </c>
      <c r="F353" t="inlineStr">
        <is>
          <t>JÖNKÖPINGS LÄN</t>
        </is>
      </c>
      <c r="G353" t="inlineStr">
        <is>
          <t>NÄSSJÖ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46230</v>
      </c>
      <c r="F354" t="inlineStr">
        <is>
          <t>JÖNKÖPINGS LÄN</t>
        </is>
      </c>
      <c r="G354" t="inlineStr">
        <is>
          <t>NÄSSJÖ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46230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45069</v>
      </c>
      <c r="E356" s="1" t="n">
        <v>46230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46230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45693</v>
      </c>
      <c r="E358" s="1" t="n">
        <v>46230</v>
      </c>
      <c r="F358" t="inlineStr">
        <is>
          <t>JÖNKÖPINGS LÄN</t>
        </is>
      </c>
      <c r="G358" t="inlineStr">
        <is>
          <t>NÄSSJÖ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46230</v>
      </c>
      <c r="F359" t="inlineStr">
        <is>
          <t>JÖNKÖPINGS LÄN</t>
        </is>
      </c>
      <c r="G359" t="inlineStr">
        <is>
          <t>NÄSSJÖ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46230</v>
      </c>
      <c r="F360" t="inlineStr">
        <is>
          <t>JÖNKÖPINGS LÄN</t>
        </is>
      </c>
      <c r="G360" t="inlineStr">
        <is>
          <t>NÄSSJÖ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46230</v>
      </c>
      <c r="F361" t="inlineStr">
        <is>
          <t>JÖNKÖPINGS LÄN</t>
        </is>
      </c>
      <c r="G361" t="inlineStr">
        <is>
          <t>NÄSSJÖ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50718-2021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44460</v>
      </c>
      <c r="E362" s="1" t="n">
        <v>46230</v>
      </c>
      <c r="F362" t="inlineStr">
        <is>
          <t>JÖNKÖPINGS LÄN</t>
        </is>
      </c>
      <c r="G362" t="inlineStr">
        <is>
          <t>NÄSSJÖ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15829-2024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45404</v>
      </c>
      <c r="E363" s="1" t="n">
        <v>46230</v>
      </c>
      <c r="F363" t="inlineStr">
        <is>
          <t>JÖNKÖPINGS LÄN</t>
        </is>
      </c>
      <c r="G363" t="inlineStr">
        <is>
          <t>NÄSSJÖ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46230</v>
      </c>
      <c r="F364" t="inlineStr">
        <is>
          <t>JÖNKÖPINGS LÄN</t>
        </is>
      </c>
      <c r="G364" t="inlineStr">
        <is>
          <t>NÄSSJÖ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46230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46230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46230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46230</v>
      </c>
      <c r="F368" t="inlineStr">
        <is>
          <t>JÖNKÖPINGS LÄN</t>
        </is>
      </c>
      <c r="G368" t="inlineStr">
        <is>
          <t>NÄSSJÖ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46230</v>
      </c>
      <c r="F369" t="inlineStr">
        <is>
          <t>JÖNKÖPINGS LÄN</t>
        </is>
      </c>
      <c r="G369" t="inlineStr">
        <is>
          <t>NÄSSJÖ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46230</v>
      </c>
      <c r="F370" t="inlineStr">
        <is>
          <t>JÖNKÖPINGS LÄN</t>
        </is>
      </c>
      <c r="G370" t="inlineStr">
        <is>
          <t>NÄSSJÖ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46230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46230</v>
      </c>
      <c r="F372" t="inlineStr">
        <is>
          <t>JÖNKÖPINGS LÄN</t>
        </is>
      </c>
      <c r="G372" t="inlineStr">
        <is>
          <t>NÄSSJÖ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46230</v>
      </c>
      <c r="F373" t="inlineStr">
        <is>
          <t>JÖNKÖPINGS LÄN</t>
        </is>
      </c>
      <c r="G373" t="inlineStr">
        <is>
          <t>NÄSSJÖ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46230</v>
      </c>
      <c r="F374" t="inlineStr">
        <is>
          <t>JÖNKÖPINGS LÄN</t>
        </is>
      </c>
      <c r="G374" t="inlineStr">
        <is>
          <t>NÄSSJÖ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46230</v>
      </c>
      <c r="F375" t="inlineStr">
        <is>
          <t>JÖNKÖPINGS LÄN</t>
        </is>
      </c>
      <c r="G375" t="inlineStr">
        <is>
          <t>NÄSSJÖ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46230</v>
      </c>
      <c r="F376" t="inlineStr">
        <is>
          <t>JÖNKÖPINGS LÄN</t>
        </is>
      </c>
      <c r="G376" t="inlineStr">
        <is>
          <t>NÄSSJÖ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46230</v>
      </c>
      <c r="F377" t="inlineStr">
        <is>
          <t>JÖNKÖPINGS LÄN</t>
        </is>
      </c>
      <c r="G377" t="inlineStr">
        <is>
          <t>NÄSSJÖ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45069</v>
      </c>
      <c r="E378" s="1" t="n">
        <v>46230</v>
      </c>
      <c r="F378" t="inlineStr">
        <is>
          <t>JÖNKÖPINGS LÄN</t>
        </is>
      </c>
      <c r="G378" t="inlineStr">
        <is>
          <t>NÄSSJÖ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46204</v>
      </c>
      <c r="E379" s="1" t="n">
        <v>46230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46230</v>
      </c>
      <c r="F380" t="inlineStr">
        <is>
          <t>JÖNKÖPINGS LÄN</t>
        </is>
      </c>
      <c r="G380" t="inlineStr">
        <is>
          <t>NÄSSJÖ</t>
        </is>
      </c>
      <c r="H380" t="inlineStr">
        <is>
          <t>Övriga Aktiebolag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46230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52605-2022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44874</v>
      </c>
      <c r="E382" s="1" t="n">
        <v>46230</v>
      </c>
      <c r="F382" t="inlineStr">
        <is>
          <t>JÖNKÖPINGS LÄN</t>
        </is>
      </c>
      <c r="G382" t="inlineStr">
        <is>
          <t>NÄSSJÖ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46230</v>
      </c>
      <c r="F383" t="inlineStr">
        <is>
          <t>JÖNKÖPINGS LÄN</t>
        </is>
      </c>
      <c r="G383" t="inlineStr">
        <is>
          <t>NÄSSJÖ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46209</v>
      </c>
      <c r="E384" s="1" t="n">
        <v>46230</v>
      </c>
      <c r="F384" t="inlineStr">
        <is>
          <t>JÖNKÖPINGS LÄN</t>
        </is>
      </c>
      <c r="G384" t="inlineStr">
        <is>
          <t>NÄSSJÖ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46230</v>
      </c>
      <c r="F385" t="inlineStr">
        <is>
          <t>JÖNKÖPINGS LÄN</t>
        </is>
      </c>
      <c r="G385" t="inlineStr">
        <is>
          <t>NÄSSJÖ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46230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46061</v>
      </c>
      <c r="E387" s="1" t="n">
        <v>46230</v>
      </c>
      <c r="F387" t="inlineStr">
        <is>
          <t>JÖNKÖPINGS LÄN</t>
        </is>
      </c>
      <c r="G387" t="inlineStr">
        <is>
          <t>NÄSSJÖ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46230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46230</v>
      </c>
      <c r="F389" t="inlineStr">
        <is>
          <t>JÖNKÖPINGS LÄN</t>
        </is>
      </c>
      <c r="G389" t="inlineStr">
        <is>
          <t>NÄSSJÖ</t>
        </is>
      </c>
      <c r="H389" t="inlineStr">
        <is>
          <t>Sveaskog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46230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57678-2021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44484</v>
      </c>
      <c r="E391" s="1" t="n">
        <v>46230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46230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46230</v>
      </c>
      <c r="F393" t="inlineStr">
        <is>
          <t>JÖNKÖPINGS LÄN</t>
        </is>
      </c>
      <c r="G393" t="inlineStr">
        <is>
          <t>NÄSSJÖ</t>
        </is>
      </c>
      <c r="H393" t="inlineStr">
        <is>
          <t>Sveaskog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46230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46070</v>
      </c>
      <c r="E395" s="1" t="n">
        <v>46230</v>
      </c>
      <c r="F395" t="inlineStr">
        <is>
          <t>JÖNKÖPINGS LÄN</t>
        </is>
      </c>
      <c r="G395" t="inlineStr">
        <is>
          <t>NÄSSJÖ</t>
        </is>
      </c>
      <c r="H395" t="inlineStr">
        <is>
          <t>Kyrkan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46230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46230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44664</v>
      </c>
      <c r="E398" s="1" t="n">
        <v>46230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46230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46230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44902</v>
      </c>
      <c r="E401" s="1" t="n">
        <v>46230</v>
      </c>
      <c r="F401" t="inlineStr">
        <is>
          <t>JÖNKÖPINGS LÄN</t>
        </is>
      </c>
      <c r="G401" t="inlineStr">
        <is>
          <t>NÄSSJÖ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46230</v>
      </c>
      <c r="F402" t="inlineStr">
        <is>
          <t>JÖNKÖPINGS LÄN</t>
        </is>
      </c>
      <c r="G402" t="inlineStr">
        <is>
          <t>NÄSSJÖ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46230</v>
      </c>
      <c r="F403" t="inlineStr">
        <is>
          <t>JÖNKÖPINGS LÄN</t>
        </is>
      </c>
      <c r="G403" t="inlineStr">
        <is>
          <t>NÄSSJÖ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45590</v>
      </c>
      <c r="E404" s="1" t="n">
        <v>46230</v>
      </c>
      <c r="F404" t="inlineStr">
        <is>
          <t>JÖNKÖPINGS LÄN</t>
        </is>
      </c>
      <c r="G404" t="inlineStr">
        <is>
          <t>NÄSSJÖ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46230</v>
      </c>
      <c r="F405" t="inlineStr">
        <is>
          <t>JÖNKÖPINGS LÄN</t>
        </is>
      </c>
      <c r="G405" t="inlineStr">
        <is>
          <t>NÄSSJÖ</t>
        </is>
      </c>
      <c r="H405" t="inlineStr">
        <is>
          <t>Kyrkan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46230</v>
      </c>
      <c r="F406" t="inlineStr">
        <is>
          <t>JÖNKÖPINGS LÄN</t>
        </is>
      </c>
      <c r="G406" t="inlineStr">
        <is>
          <t>NÄSSJÖ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46230</v>
      </c>
      <c r="F407" t="inlineStr">
        <is>
          <t>JÖNKÖPINGS LÄN</t>
        </is>
      </c>
      <c r="G407" t="inlineStr">
        <is>
          <t>NÄSSJÖ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46230</v>
      </c>
      <c r="F408" t="inlineStr">
        <is>
          <t>JÖNKÖPINGS LÄN</t>
        </is>
      </c>
      <c r="G408" t="inlineStr">
        <is>
          <t>NÄSSJÖ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46230</v>
      </c>
      <c r="F409" t="inlineStr">
        <is>
          <t>JÖNKÖPINGS LÄN</t>
        </is>
      </c>
      <c r="G409" t="inlineStr">
        <is>
          <t>NÄSSJÖ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46090</v>
      </c>
      <c r="E410" s="1" t="n">
        <v>46230</v>
      </c>
      <c r="F410" t="inlineStr">
        <is>
          <t>JÖNKÖPINGS LÄN</t>
        </is>
      </c>
      <c r="G410" t="inlineStr">
        <is>
          <t>NÄSSJÖ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45419</v>
      </c>
      <c r="E411" s="1" t="n">
        <v>46230</v>
      </c>
      <c r="F411" t="inlineStr">
        <is>
          <t>JÖNKÖPINGS LÄN</t>
        </is>
      </c>
      <c r="G411" t="inlineStr">
        <is>
          <t>NÄSSJÖ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45756</v>
      </c>
      <c r="E412" s="1" t="n">
        <v>46230</v>
      </c>
      <c r="F412" t="inlineStr">
        <is>
          <t>JÖNKÖPINGS LÄN</t>
        </is>
      </c>
      <c r="G412" t="inlineStr">
        <is>
          <t>NÄSSJÖ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38658-2022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46230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44816</v>
      </c>
      <c r="E414" s="1" t="n">
        <v>46230</v>
      </c>
      <c r="F414" t="inlineStr">
        <is>
          <t>JÖNKÖPINGS LÄN</t>
        </is>
      </c>
      <c r="G414" t="inlineStr">
        <is>
          <t>NÄSSJÖ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46230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12652-2026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46091</v>
      </c>
      <c r="E416" s="1" t="n">
        <v>46230</v>
      </c>
      <c r="F416" t="inlineStr">
        <is>
          <t>JÖNKÖPINGS LÄN</t>
        </is>
      </c>
      <c r="G416" t="inlineStr">
        <is>
          <t>NÄSSJÖ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46091</v>
      </c>
      <c r="E417" s="1" t="n">
        <v>46230</v>
      </c>
      <c r="F417" t="inlineStr">
        <is>
          <t>JÖNKÖPINGS LÄN</t>
        </is>
      </c>
      <c r="G417" t="inlineStr">
        <is>
          <t>NÄSSJÖ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46230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46230</v>
      </c>
      <c r="F419" t="inlineStr">
        <is>
          <t>JÖNKÖPINGS LÄN</t>
        </is>
      </c>
      <c r="G419" t="inlineStr">
        <is>
          <t>NÄSSJÖ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46230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46230</v>
      </c>
      <c r="F421" t="inlineStr">
        <is>
          <t>JÖNKÖPINGS LÄN</t>
        </is>
      </c>
      <c r="G421" t="inlineStr">
        <is>
          <t>NÄSSJÖ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24873-2026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46174</v>
      </c>
      <c r="E422" s="1" t="n">
        <v>46230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46230</v>
      </c>
      <c r="F423" t="inlineStr">
        <is>
          <t>JÖNKÖPINGS LÄN</t>
        </is>
      </c>
      <c r="G423" t="inlineStr">
        <is>
          <t>NÄSSJÖ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46230</v>
      </c>
      <c r="F424" t="inlineStr">
        <is>
          <t>JÖNKÖPINGS LÄN</t>
        </is>
      </c>
      <c r="G424" t="inlineStr">
        <is>
          <t>NÄSSJÖ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46230</v>
      </c>
      <c r="F425" t="inlineStr">
        <is>
          <t>JÖNKÖPINGS LÄN</t>
        </is>
      </c>
      <c r="G425" t="inlineStr">
        <is>
          <t>NÄSSJÖ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45372</v>
      </c>
      <c r="E426" s="1" t="n">
        <v>46230</v>
      </c>
      <c r="F426" t="inlineStr">
        <is>
          <t>JÖNKÖPINGS LÄN</t>
        </is>
      </c>
      <c r="G426" t="inlineStr">
        <is>
          <t>NÄSSJÖ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45372</v>
      </c>
      <c r="E427" s="1" t="n">
        <v>46230</v>
      </c>
      <c r="F427" t="inlineStr">
        <is>
          <t>JÖNKÖPINGS LÄN</t>
        </is>
      </c>
      <c r="G427" t="inlineStr">
        <is>
          <t>NÄSSJÖ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45372</v>
      </c>
      <c r="E428" s="1" t="n">
        <v>46230</v>
      </c>
      <c r="F428" t="inlineStr">
        <is>
          <t>JÖNKÖPINGS LÄN</t>
        </is>
      </c>
      <c r="G428" t="inlineStr">
        <is>
          <t>NÄSSJÖ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50836-2021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44460</v>
      </c>
      <c r="E429" s="1" t="n">
        <v>46230</v>
      </c>
      <c r="F429" t="inlineStr">
        <is>
          <t>JÖNKÖPINGS LÄN</t>
        </is>
      </c>
      <c r="G429" t="inlineStr">
        <is>
          <t>NÄSSJÖ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46230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45132</v>
      </c>
      <c r="E431" s="1" t="n">
        <v>46230</v>
      </c>
      <c r="F431" t="inlineStr">
        <is>
          <t>JÖNKÖPINGS LÄN</t>
        </is>
      </c>
      <c r="G431" t="inlineStr">
        <is>
          <t>NÄSSJÖ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46230</v>
      </c>
      <c r="F432" t="inlineStr">
        <is>
          <t>JÖNKÖPINGS LÄN</t>
        </is>
      </c>
      <c r="G432" t="inlineStr">
        <is>
          <t>NÄSSJÖ</t>
        </is>
      </c>
      <c r="H432" t="inlineStr">
        <is>
          <t>Kommuner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46230</v>
      </c>
      <c r="F433" t="inlineStr">
        <is>
          <t>JÖNKÖPINGS LÄN</t>
        </is>
      </c>
      <c r="G433" t="inlineStr">
        <is>
          <t>NÄSSJÖ</t>
        </is>
      </c>
      <c r="H433" t="inlineStr">
        <is>
          <t>Sveaskog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44816</v>
      </c>
      <c r="E434" s="1" t="n">
        <v>46230</v>
      </c>
      <c r="F434" t="inlineStr">
        <is>
          <t>JÖNKÖPINGS LÄN</t>
        </is>
      </c>
      <c r="G434" t="inlineStr">
        <is>
          <t>NÄSSJÖ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14721-2026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46230</v>
      </c>
      <c r="F435" t="inlineStr">
        <is>
          <t>JÖNKÖPINGS LÄN</t>
        </is>
      </c>
      <c r="G435" t="inlineStr">
        <is>
          <t>NÄSSJÖ</t>
        </is>
      </c>
      <c r="H435" t="inlineStr">
        <is>
          <t>Kommuner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46230</v>
      </c>
      <c r="F436" t="inlineStr">
        <is>
          <t>JÖNKÖPINGS LÄN</t>
        </is>
      </c>
      <c r="G436" t="inlineStr">
        <is>
          <t>NÄSSJÖ</t>
        </is>
      </c>
      <c r="H436" t="inlineStr">
        <is>
          <t>Kommuner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44972</v>
      </c>
      <c r="E437" s="1" t="n">
        <v>46230</v>
      </c>
      <c r="F437" t="inlineStr">
        <is>
          <t>JÖNKÖPINGS LÄN</t>
        </is>
      </c>
      <c r="G437" t="inlineStr">
        <is>
          <t>NÄSSJÖ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44994</v>
      </c>
      <c r="E438" s="1" t="n">
        <v>46230</v>
      </c>
      <c r="F438" t="inlineStr">
        <is>
          <t>JÖNKÖPINGS LÄN</t>
        </is>
      </c>
      <c r="G438" t="inlineStr">
        <is>
          <t>NÄSSJÖ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45373</v>
      </c>
      <c r="E439" s="1" t="n">
        <v>46230</v>
      </c>
      <c r="F439" t="inlineStr">
        <is>
          <t>JÖNKÖPINGS LÄN</t>
        </is>
      </c>
      <c r="G439" t="inlineStr">
        <is>
          <t>NÄSSJÖ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46230</v>
      </c>
      <c r="F440" t="inlineStr">
        <is>
          <t>JÖNKÖPINGS LÄN</t>
        </is>
      </c>
      <c r="G440" t="inlineStr">
        <is>
          <t>NÄSSJÖ</t>
        </is>
      </c>
      <c r="H440" t="inlineStr">
        <is>
          <t>Sveaskog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46230</v>
      </c>
      <c r="F441" t="inlineStr">
        <is>
          <t>JÖNKÖPINGS LÄN</t>
        </is>
      </c>
      <c r="G441" t="inlineStr">
        <is>
          <t>NÄSSJÖ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46230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46230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46230</v>
      </c>
      <c r="F444" t="inlineStr">
        <is>
          <t>JÖNKÖPINGS LÄN</t>
        </is>
      </c>
      <c r="G444" t="inlineStr">
        <is>
          <t>NÄSSJÖ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44993</v>
      </c>
      <c r="E445" s="1" t="n">
        <v>46230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46230</v>
      </c>
      <c r="F446" t="inlineStr">
        <is>
          <t>JÖNKÖPINGS LÄN</t>
        </is>
      </c>
      <c r="G446" t="inlineStr">
        <is>
          <t>NÄSSJÖ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52669-2023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45219</v>
      </c>
      <c r="E447" s="1" t="n">
        <v>46230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46230</v>
      </c>
      <c r="F448" t="inlineStr">
        <is>
          <t>JÖNKÖPINGS LÄN</t>
        </is>
      </c>
      <c r="G448" t="inlineStr">
        <is>
          <t>NÄSSJÖ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46230</v>
      </c>
      <c r="F449" t="inlineStr">
        <is>
          <t>JÖNKÖPINGS LÄN</t>
        </is>
      </c>
      <c r="G449" t="inlineStr">
        <is>
          <t>NÄSSJÖ</t>
        </is>
      </c>
      <c r="H449" t="inlineStr">
        <is>
          <t>Kommuner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46120</v>
      </c>
      <c r="E450" s="1" t="n">
        <v>46230</v>
      </c>
      <c r="F450" t="inlineStr">
        <is>
          <t>JÖNKÖPINGS LÄN</t>
        </is>
      </c>
      <c r="G450" t="inlineStr">
        <is>
          <t>NÄSSJÖ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46120</v>
      </c>
      <c r="E451" s="1" t="n">
        <v>46230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46230</v>
      </c>
      <c r="F452" t="inlineStr">
        <is>
          <t>JÖNKÖPINGS LÄN</t>
        </is>
      </c>
      <c r="G452" t="inlineStr">
        <is>
          <t>NÄSSJÖ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46230</v>
      </c>
      <c r="F453" t="inlineStr">
        <is>
          <t>JÖNKÖPINGS LÄN</t>
        </is>
      </c>
      <c r="G453" t="inlineStr">
        <is>
          <t>NÄSSJÖ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45617</v>
      </c>
      <c r="E454" s="1" t="n">
        <v>46230</v>
      </c>
      <c r="F454" t="inlineStr">
        <is>
          <t>JÖNKÖPINGS LÄN</t>
        </is>
      </c>
      <c r="G454" t="inlineStr">
        <is>
          <t>NÄSSJÖ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44564</v>
      </c>
      <c r="E455" s="1" t="n">
        <v>46230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44985</v>
      </c>
      <c r="E456" s="1" t="n">
        <v>46230</v>
      </c>
      <c r="F456" t="inlineStr">
        <is>
          <t>JÖNKÖPINGS LÄN</t>
        </is>
      </c>
      <c r="G456" t="inlineStr">
        <is>
          <t>NÄSSJÖ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46230</v>
      </c>
      <c r="F457" t="inlineStr">
        <is>
          <t>JÖNKÖPINGS LÄN</t>
        </is>
      </c>
      <c r="G457" t="inlineStr">
        <is>
          <t>NÄSSJÖ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46230</v>
      </c>
      <c r="F458" t="inlineStr">
        <is>
          <t>JÖNKÖPINGS LÄN</t>
        </is>
      </c>
      <c r="G458" t="inlineStr">
        <is>
          <t>NÄSSJÖ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45617</v>
      </c>
      <c r="E459" s="1" t="n">
        <v>46230</v>
      </c>
      <c r="F459" t="inlineStr">
        <is>
          <t>JÖNKÖPINGS LÄN</t>
        </is>
      </c>
      <c r="G459" t="inlineStr">
        <is>
          <t>NÄSSJÖ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45190</v>
      </c>
      <c r="E460" s="1" t="n">
        <v>46230</v>
      </c>
      <c r="F460" t="inlineStr">
        <is>
          <t>JÖNKÖPINGS LÄN</t>
        </is>
      </c>
      <c r="G460" t="inlineStr">
        <is>
          <t>NÄSSJÖ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44617</v>
      </c>
      <c r="E461" s="1" t="n">
        <v>46230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46230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46230</v>
      </c>
      <c r="F463" t="inlineStr">
        <is>
          <t>JÖNKÖPINGS LÄN</t>
        </is>
      </c>
      <c r="G463" t="inlineStr">
        <is>
          <t>NÄSSJÖ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46230</v>
      </c>
      <c r="F464" t="inlineStr">
        <is>
          <t>JÖNKÖPINGS LÄN</t>
        </is>
      </c>
      <c r="G464" t="inlineStr">
        <is>
          <t>NÄSSJÖ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40131-2021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44418</v>
      </c>
      <c r="E465" s="1" t="n">
        <v>46230</v>
      </c>
      <c r="F465" t="inlineStr">
        <is>
          <t>JÖNKÖPINGS LÄN</t>
        </is>
      </c>
      <c r="G465" t="inlineStr">
        <is>
          <t>NÄSSJÖ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46230</v>
      </c>
      <c r="F466" t="inlineStr">
        <is>
          <t>JÖNKÖPINGS LÄN</t>
        </is>
      </c>
      <c r="G466" t="inlineStr">
        <is>
          <t>NÄSSJÖ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29990-2023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45109</v>
      </c>
      <c r="E467" s="1" t="n">
        <v>46230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45014</v>
      </c>
      <c r="E468" s="1" t="n">
        <v>46230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44988</v>
      </c>
      <c r="E469" s="1" t="n">
        <v>46230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46230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46230</v>
      </c>
      <c r="F471" t="inlineStr">
        <is>
          <t>JÖNKÖPINGS LÄN</t>
        </is>
      </c>
      <c r="G471" t="inlineStr">
        <is>
          <t>NÄSSJÖ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46230</v>
      </c>
      <c r="F472" t="inlineStr">
        <is>
          <t>JÖNKÖPINGS LÄN</t>
        </is>
      </c>
      <c r="G472" t="inlineStr">
        <is>
          <t>NÄSSJÖ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46230</v>
      </c>
      <c r="F473" t="inlineStr">
        <is>
          <t>JÖNKÖPINGS LÄN</t>
        </is>
      </c>
      <c r="G473" t="inlineStr">
        <is>
          <t>NÄSSJÖ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44894</v>
      </c>
      <c r="E474" s="1" t="n">
        <v>46230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45695</v>
      </c>
      <c r="E475" s="1" t="n">
        <v>46230</v>
      </c>
      <c r="F475" t="inlineStr">
        <is>
          <t>JÖNKÖPINGS LÄN</t>
        </is>
      </c>
      <c r="G475" t="inlineStr">
        <is>
          <t>NÄSSJÖ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45408</v>
      </c>
      <c r="E476" s="1" t="n">
        <v>46230</v>
      </c>
      <c r="F476" t="inlineStr">
        <is>
          <t>JÖNKÖPINGS LÄN</t>
        </is>
      </c>
      <c r="G476" t="inlineStr">
        <is>
          <t>NÄSSJÖ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45162</v>
      </c>
      <c r="E477" s="1" t="n">
        <v>46230</v>
      </c>
      <c r="F477" t="inlineStr">
        <is>
          <t>JÖNKÖPINGS LÄN</t>
        </is>
      </c>
      <c r="G477" t="inlineStr">
        <is>
          <t>NÄSSJÖ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41325-2022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44826</v>
      </c>
      <c r="E478" s="1" t="n">
        <v>46230</v>
      </c>
      <c r="F478" t="inlineStr">
        <is>
          <t>JÖNKÖPINGS LÄN</t>
        </is>
      </c>
      <c r="G478" t="inlineStr">
        <is>
          <t>NÄSSJÖ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44608</v>
      </c>
      <c r="E479" s="1" t="n">
        <v>46230</v>
      </c>
      <c r="F479" t="inlineStr">
        <is>
          <t>JÖNKÖPINGS LÄN</t>
        </is>
      </c>
      <c r="G479" t="inlineStr">
        <is>
          <t>NÄSSJÖ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44976</v>
      </c>
      <c r="E480" s="1" t="n">
        <v>46230</v>
      </c>
      <c r="F480" t="inlineStr">
        <is>
          <t>JÖNKÖPINGS LÄN</t>
        </is>
      </c>
      <c r="G480" t="inlineStr">
        <is>
          <t>NÄSSJÖ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45213</v>
      </c>
      <c r="E481" s="1" t="n">
        <v>46230</v>
      </c>
      <c r="F481" t="inlineStr">
        <is>
          <t>JÖNKÖPINGS LÄN</t>
        </is>
      </c>
      <c r="G481" t="inlineStr">
        <is>
          <t>NÄSSJÖ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45343</v>
      </c>
      <c r="E482" s="1" t="n">
        <v>46230</v>
      </c>
      <c r="F482" t="inlineStr">
        <is>
          <t>JÖNKÖPINGS LÄN</t>
        </is>
      </c>
      <c r="G482" t="inlineStr">
        <is>
          <t>NÄSSJÖ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46230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49376-2021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46230</v>
      </c>
      <c r="F484" t="inlineStr">
        <is>
          <t>JÖNKÖPINGS LÄN</t>
        </is>
      </c>
      <c r="G484" t="inlineStr">
        <is>
          <t>NÄSSJÖ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46230</v>
      </c>
      <c r="F485" t="inlineStr">
        <is>
          <t>JÖNKÖPINGS LÄN</t>
        </is>
      </c>
      <c r="G485" t="inlineStr">
        <is>
          <t>NÄSSJÖ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15325-2022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44659</v>
      </c>
      <c r="E486" s="1" t="n">
        <v>46230</v>
      </c>
      <c r="F486" t="inlineStr">
        <is>
          <t>JÖNKÖPINGS LÄN</t>
        </is>
      </c>
      <c r="G486" t="inlineStr">
        <is>
          <t>NÄSSJÖ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61451-2023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46230</v>
      </c>
      <c r="F487" t="inlineStr">
        <is>
          <t>JÖNKÖPINGS LÄN</t>
        </is>
      </c>
      <c r="G487" t="inlineStr">
        <is>
          <t>NÄSSJÖ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46230</v>
      </c>
      <c r="F488" t="inlineStr">
        <is>
          <t>JÖNKÖPINGS LÄN</t>
        </is>
      </c>
      <c r="G488" t="inlineStr">
        <is>
          <t>NÄSSJÖ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61545-2022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46230</v>
      </c>
      <c r="F489" t="inlineStr">
        <is>
          <t>JÖNKÖPINGS LÄN</t>
        </is>
      </c>
      <c r="G489" t="inlineStr">
        <is>
          <t>NÄSSJÖ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46230</v>
      </c>
      <c r="F490" t="inlineStr">
        <is>
          <t>JÖNKÖPINGS LÄN</t>
        </is>
      </c>
      <c r="G490" t="inlineStr">
        <is>
          <t>NÄSSJÖ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45648-2024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45579</v>
      </c>
      <c r="E491" s="1" t="n">
        <v>46230</v>
      </c>
      <c r="F491" t="inlineStr">
        <is>
          <t>JÖNKÖPINGS LÄN</t>
        </is>
      </c>
      <c r="G491" t="inlineStr">
        <is>
          <t>NÄSSJÖ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46230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45308</v>
      </c>
      <c r="E493" s="1" t="n">
        <v>46230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11120-2023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46230</v>
      </c>
      <c r="F494" t="inlineStr">
        <is>
          <t>JÖNKÖPINGS LÄN</t>
        </is>
      </c>
      <c r="G494" t="inlineStr">
        <is>
          <t>NÄSSJÖ</t>
        </is>
      </c>
      <c r="H494" t="inlineStr">
        <is>
          <t>Kommuner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46230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63630-2023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45275</v>
      </c>
      <c r="E496" s="1" t="n">
        <v>46230</v>
      </c>
      <c r="F496" t="inlineStr">
        <is>
          <t>JÖNKÖPINGS LÄN</t>
        </is>
      </c>
      <c r="G496" t="inlineStr">
        <is>
          <t>NÄSSJÖ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46230</v>
      </c>
      <c r="F497" t="inlineStr">
        <is>
          <t>JÖNKÖPINGS LÄN</t>
        </is>
      </c>
      <c r="G497" t="inlineStr">
        <is>
          <t>NÄSSJÖ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17933-2025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45760</v>
      </c>
      <c r="E498" s="1" t="n">
        <v>46230</v>
      </c>
      <c r="F498" t="inlineStr">
        <is>
          <t>JÖNKÖPINGS LÄN</t>
        </is>
      </c>
      <c r="G498" t="inlineStr">
        <is>
          <t>NÄSSJÖ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17936-2025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45760</v>
      </c>
      <c r="E499" s="1" t="n">
        <v>46230</v>
      </c>
      <c r="F499" t="inlineStr">
        <is>
          <t>JÖNKÖPINGS LÄN</t>
        </is>
      </c>
      <c r="G499" t="inlineStr">
        <is>
          <t>NÄSSJÖ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17943-2025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45760</v>
      </c>
      <c r="E500" s="1" t="n">
        <v>46230</v>
      </c>
      <c r="F500" t="inlineStr">
        <is>
          <t>JÖNKÖPINGS LÄN</t>
        </is>
      </c>
      <c r="G500" t="inlineStr">
        <is>
          <t>NÄSSJÖ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45732</v>
      </c>
      <c r="E501" s="1" t="n">
        <v>46230</v>
      </c>
      <c r="F501" t="inlineStr">
        <is>
          <t>JÖNKÖPINGS LÄN</t>
        </is>
      </c>
      <c r="G501" t="inlineStr">
        <is>
          <t>NÄSSJÖ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63628-2023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45275</v>
      </c>
      <c r="E502" s="1" t="n">
        <v>46230</v>
      </c>
      <c r="F502" t="inlineStr">
        <is>
          <t>JÖNKÖPINGS LÄN</t>
        </is>
      </c>
      <c r="G502" t="inlineStr">
        <is>
          <t>NÄSSJÖ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45099</v>
      </c>
      <c r="E503" s="1" t="n">
        <v>46230</v>
      </c>
      <c r="F503" t="inlineStr">
        <is>
          <t>JÖNKÖPINGS LÄN</t>
        </is>
      </c>
      <c r="G503" t="inlineStr">
        <is>
          <t>NÄSSJÖ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45056</v>
      </c>
      <c r="E504" s="1" t="n">
        <v>46230</v>
      </c>
      <c r="F504" t="inlineStr">
        <is>
          <t>JÖNKÖPINGS LÄN</t>
        </is>
      </c>
      <c r="G504" t="inlineStr">
        <is>
          <t>NÄSSJÖ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53962-2024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46230</v>
      </c>
      <c r="F505" t="inlineStr">
        <is>
          <t>JÖNKÖPINGS LÄN</t>
        </is>
      </c>
      <c r="G505" t="inlineStr">
        <is>
          <t>NÄSSJÖ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15993-2022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44665</v>
      </c>
      <c r="E506" s="1" t="n">
        <v>46230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52236-2021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44463</v>
      </c>
      <c r="E507" s="1" t="n">
        <v>46230</v>
      </c>
      <c r="F507" t="inlineStr">
        <is>
          <t>JÖNKÖPINGS LÄN</t>
        </is>
      </c>
      <c r="G507" t="inlineStr">
        <is>
          <t>NÄSSJÖ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44848</v>
      </c>
      <c r="E508" s="1" t="n">
        <v>46230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45309</v>
      </c>
      <c r="E509" s="1" t="n">
        <v>46230</v>
      </c>
      <c r="F509" t="inlineStr">
        <is>
          <t>JÖNKÖPINGS LÄN</t>
        </is>
      </c>
      <c r="G509" t="inlineStr">
        <is>
          <t>NÄSSJÖ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46230</v>
      </c>
      <c r="F510" t="inlineStr">
        <is>
          <t>JÖNKÖPINGS LÄN</t>
        </is>
      </c>
      <c r="G510" t="inlineStr">
        <is>
          <t>NÄSSJÖ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52671-2022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44874</v>
      </c>
      <c r="E511" s="1" t="n">
        <v>46230</v>
      </c>
      <c r="F511" t="inlineStr">
        <is>
          <t>JÖNKÖPINGS LÄN</t>
        </is>
      </c>
      <c r="G511" t="inlineStr">
        <is>
          <t>NÄSSJÖ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63087-2023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45273</v>
      </c>
      <c r="E512" s="1" t="n">
        <v>46230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47884-2023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46230</v>
      </c>
      <c r="F513" t="inlineStr">
        <is>
          <t>JÖNKÖPINGS LÄN</t>
        </is>
      </c>
      <c r="G513" t="inlineStr">
        <is>
          <t>NÄSSJÖ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12973-2025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45734</v>
      </c>
      <c r="E514" s="1" t="n">
        <v>46230</v>
      </c>
      <c r="F514" t="inlineStr">
        <is>
          <t>JÖNKÖPINGS LÄN</t>
        </is>
      </c>
      <c r="G514" t="inlineStr">
        <is>
          <t>NÄSSJÖ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39582-2023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45163</v>
      </c>
      <c r="E515" s="1" t="n">
        <v>46230</v>
      </c>
      <c r="F515" t="inlineStr">
        <is>
          <t>JÖNKÖPINGS LÄN</t>
        </is>
      </c>
      <c r="G515" t="inlineStr">
        <is>
          <t>NÄSSJÖ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44603</v>
      </c>
      <c r="E516" s="1" t="n">
        <v>46230</v>
      </c>
      <c r="F516" t="inlineStr">
        <is>
          <t>JÖNKÖPINGS LÄN</t>
        </is>
      </c>
      <c r="G516" t="inlineStr">
        <is>
          <t>NÄSSJÖ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45307</v>
      </c>
      <c r="E517" s="1" t="n">
        <v>46230</v>
      </c>
      <c r="F517" t="inlineStr">
        <is>
          <t>JÖNKÖPINGS LÄN</t>
        </is>
      </c>
      <c r="G517" t="inlineStr">
        <is>
          <t>NÄSSJÖ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45316</v>
      </c>
      <c r="E518" s="1" t="n">
        <v>46230</v>
      </c>
      <c r="F518" t="inlineStr">
        <is>
          <t>JÖNKÖPINGS LÄN</t>
        </is>
      </c>
      <c r="G518" t="inlineStr">
        <is>
          <t>NÄSSJÖ</t>
        </is>
      </c>
      <c r="H518" t="inlineStr">
        <is>
          <t>Kyrkan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58533-2022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46230</v>
      </c>
      <c r="F519" t="inlineStr">
        <is>
          <t>JÖNKÖPINGS LÄN</t>
        </is>
      </c>
      <c r="G519" t="inlineStr">
        <is>
          <t>NÄSSJÖ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44902</v>
      </c>
      <c r="E520" s="1" t="n">
        <v>46230</v>
      </c>
      <c r="F520" t="inlineStr">
        <is>
          <t>JÖNKÖPINGS LÄN</t>
        </is>
      </c>
      <c r="G520" t="inlineStr">
        <is>
          <t>NÄSSJÖ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45760</v>
      </c>
      <c r="E521" s="1" t="n">
        <v>46230</v>
      </c>
      <c r="F521" t="inlineStr">
        <is>
          <t>JÖNKÖPINGS LÄN</t>
        </is>
      </c>
      <c r="G521" t="inlineStr">
        <is>
          <t>NÄSSJÖ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45013</v>
      </c>
      <c r="E522" s="1" t="n">
        <v>46230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45109</v>
      </c>
      <c r="E523" s="1" t="n">
        <v>46230</v>
      </c>
      <c r="F523" t="inlineStr">
        <is>
          <t>JÖNKÖPINGS LÄN</t>
        </is>
      </c>
      <c r="G523" t="inlineStr">
        <is>
          <t>NÄSSJÖ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46230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45685</v>
      </c>
      <c r="E525" s="1" t="n">
        <v>46230</v>
      </c>
      <c r="F525" t="inlineStr">
        <is>
          <t>JÖNKÖPINGS LÄN</t>
        </is>
      </c>
      <c r="G525" t="inlineStr">
        <is>
          <t>NÄSSJÖ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45702</v>
      </c>
      <c r="E526" s="1" t="n">
        <v>46230</v>
      </c>
      <c r="F526" t="inlineStr">
        <is>
          <t>JÖNKÖPINGS LÄN</t>
        </is>
      </c>
      <c r="G526" t="inlineStr">
        <is>
          <t>NÄSSJÖ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46230</v>
      </c>
      <c r="F527" t="inlineStr">
        <is>
          <t>JÖNKÖPINGS LÄN</t>
        </is>
      </c>
      <c r="G527" t="inlineStr">
        <is>
          <t>NÄSSJÖ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45328</v>
      </c>
      <c r="E528" s="1" t="n">
        <v>46230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6402-2023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44965</v>
      </c>
      <c r="E529" s="1" t="n">
        <v>46230</v>
      </c>
      <c r="F529" t="inlineStr">
        <is>
          <t>JÖNKÖPINGS LÄN</t>
        </is>
      </c>
      <c r="G529" t="inlineStr">
        <is>
          <t>NÄSSJÖ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45551</v>
      </c>
      <c r="E530" s="1" t="n">
        <v>46230</v>
      </c>
      <c r="F530" t="inlineStr">
        <is>
          <t>JÖNKÖPINGS LÄN</t>
        </is>
      </c>
      <c r="G530" t="inlineStr">
        <is>
          <t>NÄSSJÖ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46230</v>
      </c>
      <c r="F531" t="inlineStr">
        <is>
          <t>JÖNKÖPINGS LÄN</t>
        </is>
      </c>
      <c r="G531" t="inlineStr">
        <is>
          <t>NÄSSJÖ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63743-2023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45277</v>
      </c>
      <c r="E532" s="1" t="n">
        <v>46230</v>
      </c>
      <c r="F532" t="inlineStr">
        <is>
          <t>JÖNKÖPINGS LÄN</t>
        </is>
      </c>
      <c r="G532" t="inlineStr">
        <is>
          <t>NÄSSJÖ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46230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45776</v>
      </c>
      <c r="E534" s="1" t="n">
        <v>46230</v>
      </c>
      <c r="F534" t="inlineStr">
        <is>
          <t>JÖNKÖPINGS LÄN</t>
        </is>
      </c>
      <c r="G534" t="inlineStr">
        <is>
          <t>NÄSSJÖ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45615</v>
      </c>
      <c r="E535" s="1" t="n">
        <v>46230</v>
      </c>
      <c r="F535" t="inlineStr">
        <is>
          <t>JÖNKÖPINGS LÄN</t>
        </is>
      </c>
      <c r="G535" t="inlineStr">
        <is>
          <t>NÄSSJÖ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46230</v>
      </c>
      <c r="F536" t="inlineStr">
        <is>
          <t>JÖNKÖPINGS LÄN</t>
        </is>
      </c>
      <c r="G536" t="inlineStr">
        <is>
          <t>NÄSSJÖ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46230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45599</v>
      </c>
      <c r="E538" s="1" t="n">
        <v>46230</v>
      </c>
      <c r="F538" t="inlineStr">
        <is>
          <t>JÖNKÖPINGS LÄN</t>
        </is>
      </c>
      <c r="G538" t="inlineStr">
        <is>
          <t>NÄSSJÖ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7175-2022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44605</v>
      </c>
      <c r="E539" s="1" t="n">
        <v>46230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3647-2024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45320</v>
      </c>
      <c r="E540" s="1" t="n">
        <v>46230</v>
      </c>
      <c r="F540" t="inlineStr">
        <is>
          <t>JÖNKÖPINGS LÄN</t>
        </is>
      </c>
      <c r="G540" t="inlineStr">
        <is>
          <t>NÄSSJÖ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46230</v>
      </c>
      <c r="F541" t="inlineStr">
        <is>
          <t>JÖNKÖPINGS LÄN</t>
        </is>
      </c>
      <c r="G541" t="inlineStr">
        <is>
          <t>NÄSSJÖ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46230</v>
      </c>
      <c r="F542" t="inlineStr">
        <is>
          <t>JÖNKÖPINGS LÄN</t>
        </is>
      </c>
      <c r="G542" t="inlineStr">
        <is>
          <t>NÄSSJÖ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46230</v>
      </c>
      <c r="F543" t="inlineStr">
        <is>
          <t>JÖNKÖPINGS LÄN</t>
        </is>
      </c>
      <c r="G543" t="inlineStr">
        <is>
          <t>NÄSSJÖ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45791</v>
      </c>
      <c r="E544" s="1" t="n">
        <v>46230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46230</v>
      </c>
      <c r="F545" t="inlineStr">
        <is>
          <t>JÖNKÖPINGS LÄN</t>
        </is>
      </c>
      <c r="G545" t="inlineStr">
        <is>
          <t>NÄSSJÖ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45795</v>
      </c>
      <c r="E546" s="1" t="n">
        <v>46230</v>
      </c>
      <c r="F546" t="inlineStr">
        <is>
          <t>JÖNKÖPINGS LÄN</t>
        </is>
      </c>
      <c r="G546" t="inlineStr">
        <is>
          <t>NÄSSJÖ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45260</v>
      </c>
      <c r="E547" s="1" t="n">
        <v>46230</v>
      </c>
      <c r="F547" t="inlineStr">
        <is>
          <t>JÖNKÖPINGS LÄN</t>
        </is>
      </c>
      <c r="G547" t="inlineStr">
        <is>
          <t>NÄSSJÖ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23925-2025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45795</v>
      </c>
      <c r="E548" s="1" t="n">
        <v>46230</v>
      </c>
      <c r="F548" t="inlineStr">
        <is>
          <t>JÖNKÖPINGS LÄN</t>
        </is>
      </c>
      <c r="G548" t="inlineStr">
        <is>
          <t>NÄSSJÖ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46230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45742</v>
      </c>
      <c r="E550" s="1" t="n">
        <v>46230</v>
      </c>
      <c r="F550" t="inlineStr">
        <is>
          <t>JÖNKÖPINGS LÄN</t>
        </is>
      </c>
      <c r="G550" t="inlineStr">
        <is>
          <t>NÄSSJÖ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46230</v>
      </c>
      <c r="F551" t="inlineStr">
        <is>
          <t>JÖNKÖPINGS LÄN</t>
        </is>
      </c>
      <c r="G551" t="inlineStr">
        <is>
          <t>NÄSSJÖ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12710-2025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46230</v>
      </c>
      <c r="F552" t="inlineStr">
        <is>
          <t>JÖNKÖPINGS LÄN</t>
        </is>
      </c>
      <c r="G552" t="inlineStr">
        <is>
          <t>NÄSSJÖ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46230</v>
      </c>
      <c r="F553" t="inlineStr">
        <is>
          <t>JÖNKÖPINGS LÄN</t>
        </is>
      </c>
      <c r="G553" t="inlineStr">
        <is>
          <t>NÄSSJÖ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12305-2025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45729</v>
      </c>
      <c r="E554" s="1" t="n">
        <v>46230</v>
      </c>
      <c r="F554" t="inlineStr">
        <is>
          <t>JÖNKÖPINGS LÄN</t>
        </is>
      </c>
      <c r="G554" t="inlineStr">
        <is>
          <t>NÄSSJÖ</t>
        </is>
      </c>
      <c r="I554" t="n">
        <v>9.4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45267</v>
      </c>
      <c r="E555" s="1" t="n">
        <v>46230</v>
      </c>
      <c r="F555" t="inlineStr">
        <is>
          <t>JÖNKÖPINGS LÄN</t>
        </is>
      </c>
      <c r="G555" t="inlineStr">
        <is>
          <t>NÄSSJÖ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46230</v>
      </c>
      <c r="F556" t="inlineStr">
        <is>
          <t>JÖNKÖPINGS LÄN</t>
        </is>
      </c>
      <c r="G556" t="inlineStr">
        <is>
          <t>NÄSSJÖ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46230</v>
      </c>
      <c r="F557" t="inlineStr">
        <is>
          <t>JÖNKÖPINGS LÄN</t>
        </is>
      </c>
      <c r="G557" t="inlineStr">
        <is>
          <t>NÄSSJÖ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46230</v>
      </c>
      <c r="F558" t="inlineStr">
        <is>
          <t>JÖNKÖPINGS LÄN</t>
        </is>
      </c>
      <c r="G558" t="inlineStr">
        <is>
          <t>NÄSSJÖ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45824</v>
      </c>
      <c r="E559" s="1" t="n">
        <v>46230</v>
      </c>
      <c r="F559" t="inlineStr">
        <is>
          <t>JÖNKÖPINGS LÄN</t>
        </is>
      </c>
      <c r="G559" t="inlineStr">
        <is>
          <t>NÄSSJÖ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29184-2025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45821</v>
      </c>
      <c r="E560" s="1" t="n">
        <v>46230</v>
      </c>
      <c r="F560" t="inlineStr">
        <is>
          <t>JÖNKÖPINGS LÄN</t>
        </is>
      </c>
      <c r="G560" t="inlineStr">
        <is>
          <t>NÄSSJÖ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46230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46230</v>
      </c>
      <c r="F562" t="inlineStr">
        <is>
          <t>JÖNKÖPINGS LÄN</t>
        </is>
      </c>
      <c r="G562" t="inlineStr">
        <is>
          <t>NÄSSJÖ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29214-2025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45824</v>
      </c>
      <c r="E563" s="1" t="n">
        <v>46230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45794</v>
      </c>
      <c r="E564" s="1" t="n">
        <v>46230</v>
      </c>
      <c r="F564" t="inlineStr">
        <is>
          <t>JÖNKÖPINGS LÄN</t>
        </is>
      </c>
      <c r="G564" t="inlineStr">
        <is>
          <t>NÄSSJÖ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46230</v>
      </c>
      <c r="F565" t="inlineStr">
        <is>
          <t>JÖNKÖPINGS LÄN</t>
        </is>
      </c>
      <c r="G565" t="inlineStr">
        <is>
          <t>NÄSSJÖ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46230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33978-2025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45843</v>
      </c>
      <c r="E567" s="1" t="n">
        <v>46230</v>
      </c>
      <c r="F567" t="inlineStr">
        <is>
          <t>JÖNKÖPINGS LÄN</t>
        </is>
      </c>
      <c r="G567" t="inlineStr">
        <is>
          <t>NÄSSJÖ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45843</v>
      </c>
      <c r="E568" s="1" t="n">
        <v>46230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33979-2025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45843</v>
      </c>
      <c r="E569" s="1" t="n">
        <v>46230</v>
      </c>
      <c r="F569" t="inlineStr">
        <is>
          <t>JÖNKÖPINGS LÄN</t>
        </is>
      </c>
      <c r="G569" t="inlineStr">
        <is>
          <t>NÄSSJÖ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46230</v>
      </c>
      <c r="F570" t="inlineStr">
        <is>
          <t>JÖNKÖPINGS LÄN</t>
        </is>
      </c>
      <c r="G570" t="inlineStr">
        <is>
          <t>NÄSSJÖ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46230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9943-2025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45719</v>
      </c>
      <c r="E572" s="1" t="n">
        <v>46230</v>
      </c>
      <c r="F572" t="inlineStr">
        <is>
          <t>JÖNKÖPINGS LÄN</t>
        </is>
      </c>
      <c r="G572" t="inlineStr">
        <is>
          <t>NÄSSJÖ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45721</v>
      </c>
      <c r="E573" s="1" t="n">
        <v>46230</v>
      </c>
      <c r="F573" t="inlineStr">
        <is>
          <t>JÖNKÖPINGS LÄN</t>
        </is>
      </c>
      <c r="G573" t="inlineStr">
        <is>
          <t>NÄSSJÖ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46230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46230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46230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46230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46230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46230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46230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46230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46230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46230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46230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46230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46230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46230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46230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1040-2022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44613</v>
      </c>
      <c r="E589" s="1" t="n">
        <v>46230</v>
      </c>
      <c r="F589" t="inlineStr">
        <is>
          <t>JÖNKÖPINGS LÄN</t>
        </is>
      </c>
      <c r="G589" t="inlineStr">
        <is>
          <t>NÄSSJÖ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46230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44575</v>
      </c>
      <c r="E591" s="1" t="n">
        <v>46230</v>
      </c>
      <c r="F591" t="inlineStr">
        <is>
          <t>JÖNKÖPINGS LÄN</t>
        </is>
      </c>
      <c r="G591" t="inlineStr">
        <is>
          <t>NÄSSJÖ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46230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46230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46230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46230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46230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46230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46230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46230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46230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2026-07-27T01:50:35Z</dcterms:created>
  <dcterms:modified xmlns:dcterms="http://purl.org/dc/terms/" xmlns:xsi="http://www.w3.org/2001/XMLSchema-instance" xsi:type="dcterms:W3CDTF">2026-07-27T01:50:36Z</dcterms:modified>
</cp:coreProperties>
</file>