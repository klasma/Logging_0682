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45821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45821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45821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45821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45821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45821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45821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45821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45821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45821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45821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26543-2020</t>
        </is>
      </c>
      <c r="B13" s="1" t="n">
        <v>43987</v>
      </c>
      <c r="C13" s="1" t="n">
        <v>45821</v>
      </c>
      <c r="D13" t="inlineStr">
        <is>
          <t>JÖNKÖPINGS LÄN</t>
        </is>
      </c>
      <c r="E13" t="inlineStr">
        <is>
          <t>NÄSSJÖ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HYPERLINK("https://klasma.github.io/Logging_0682/artfynd/A 26543-2020 artfynd.xlsx", "A 26543-2020")</f>
        <v/>
      </c>
      <c r="T13">
        <f>HYPERLINK("https://klasma.github.io/Logging_0682/kartor/A 26543-2020 karta.png", "A 26543-2020")</f>
        <v/>
      </c>
      <c r="V13">
        <f>HYPERLINK("https://klasma.github.io/Logging_0682/klagomål/A 26543-2020 FSC-klagomål.docx", "A 26543-2020")</f>
        <v/>
      </c>
      <c r="W13">
        <f>HYPERLINK("https://klasma.github.io/Logging_0682/klagomålsmail/A 26543-2020 FSC-klagomål mail.docx", "A 26543-2020")</f>
        <v/>
      </c>
      <c r="X13">
        <f>HYPERLINK("https://klasma.github.io/Logging_0682/tillsyn/A 26543-2020 tillsynsbegäran.docx", "A 26543-2020")</f>
        <v/>
      </c>
      <c r="Y13">
        <f>HYPERLINK("https://klasma.github.io/Logging_0682/tillsynsmail/A 26543-2020 tillsynsbegäran mail.docx", "A 26543-2020")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45821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31630-2021</t>
        </is>
      </c>
      <c r="B15" s="1" t="n">
        <v>44369</v>
      </c>
      <c r="C15" s="1" t="n">
        <v>45821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HYPERLINK("https://klasma.github.io/Logging_0682/artfynd/A 31630-2021 artfynd.xlsx", "A 31630-2021")</f>
        <v/>
      </c>
      <c r="T15">
        <f>HYPERLINK("https://klasma.github.io/Logging_0682/kartor/A 31630-2021 karta.png", "A 31630-2021")</f>
        <v/>
      </c>
      <c r="V15">
        <f>HYPERLINK("https://klasma.github.io/Logging_0682/klagomål/A 31630-2021 FSC-klagomål.docx", "A 31630-2021")</f>
        <v/>
      </c>
      <c r="W15">
        <f>HYPERLINK("https://klasma.github.io/Logging_0682/klagomålsmail/A 31630-2021 FSC-klagomål mail.docx", "A 31630-2021")</f>
        <v/>
      </c>
      <c r="X15">
        <f>HYPERLINK("https://klasma.github.io/Logging_0682/tillsyn/A 31630-2021 tillsynsbegäran.docx", "A 31630-2021")</f>
        <v/>
      </c>
      <c r="Y15">
        <f>HYPERLINK("https://klasma.github.io/Logging_0682/tillsynsmail/A 31630-2021 tillsynsbegäran mail.docx", "A 31630-2021")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45821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42834-2021</t>
        </is>
      </c>
      <c r="B17" s="1" t="n">
        <v>44430</v>
      </c>
      <c r="C17" s="1" t="n">
        <v>45821</v>
      </c>
      <c r="D17" t="inlineStr">
        <is>
          <t>JÖNKÖPINGS LÄN</t>
        </is>
      </c>
      <c r="E17" t="inlineStr">
        <is>
          <t>NÄSSJÖ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HYPERLINK("https://klasma.github.io/Logging_0682/artfynd/A 42834-2021 artfynd.xlsx", "A 42834-2021")</f>
        <v/>
      </c>
      <c r="T17">
        <f>HYPERLINK("https://klasma.github.io/Logging_0682/kartor/A 42834-2021 karta.png", "A 42834-2021")</f>
        <v/>
      </c>
      <c r="V17">
        <f>HYPERLINK("https://klasma.github.io/Logging_0682/klagomål/A 42834-2021 FSC-klagomål.docx", "A 42834-2021")</f>
        <v/>
      </c>
      <c r="W17">
        <f>HYPERLINK("https://klasma.github.io/Logging_0682/klagomålsmail/A 42834-2021 FSC-klagomål mail.docx", "A 42834-2021")</f>
        <v/>
      </c>
      <c r="X17">
        <f>HYPERLINK("https://klasma.github.io/Logging_0682/tillsyn/A 42834-2021 tillsynsbegäran.docx", "A 42834-2021")</f>
        <v/>
      </c>
      <c r="Y17">
        <f>HYPERLINK("https://klasma.github.io/Logging_0682/tillsynsmail/A 42834-2021 tillsynsbegäran mail.docx", "A 42834-2021")</f>
        <v/>
      </c>
    </row>
    <row r="18" ht="15" customHeight="1">
      <c r="A18" t="inlineStr">
        <is>
          <t>A 61201-2021</t>
        </is>
      </c>
      <c r="B18" s="1" t="n">
        <v>44498</v>
      </c>
      <c r="C18" s="1" t="n">
        <v>45821</v>
      </c>
      <c r="D18" t="inlineStr">
        <is>
          <t>JÖNKÖPINGS LÄN</t>
        </is>
      </c>
      <c r="E18" t="inlineStr">
        <is>
          <t>NÄSSJÖ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61201-2021 artfynd.xlsx", "A 61201-2021")</f>
        <v/>
      </c>
      <c r="T18">
        <f>HYPERLINK("https://klasma.github.io/Logging_0682/kartor/A 61201-2021 karta.png", "A 61201-2021")</f>
        <v/>
      </c>
      <c r="V18">
        <f>HYPERLINK("https://klasma.github.io/Logging_0682/klagomål/A 61201-2021 FSC-klagomål.docx", "A 61201-2021")</f>
        <v/>
      </c>
      <c r="W18">
        <f>HYPERLINK("https://klasma.github.io/Logging_0682/klagomålsmail/A 61201-2021 FSC-klagomål mail.docx", "A 61201-2021")</f>
        <v/>
      </c>
      <c r="X18">
        <f>HYPERLINK("https://klasma.github.io/Logging_0682/tillsyn/A 61201-2021 tillsynsbegäran.docx", "A 61201-2021")</f>
        <v/>
      </c>
      <c r="Y18">
        <f>HYPERLINK("https://klasma.github.io/Logging_0682/tillsynsmail/A 61201-2021 tillsynsbegäran mail.docx", "A 61201-2021")</f>
        <v/>
      </c>
    </row>
    <row r="19" ht="15" customHeight="1">
      <c r="A19" t="inlineStr">
        <is>
          <t>A 68409-2021</t>
        </is>
      </c>
      <c r="B19" s="1" t="n">
        <v>44529</v>
      </c>
      <c r="C19" s="1" t="n">
        <v>45821</v>
      </c>
      <c r="D19" t="inlineStr">
        <is>
          <t>JÖNKÖPINGS LÄN</t>
        </is>
      </c>
      <c r="E19" t="inlineStr">
        <is>
          <t>NÄSSJÖ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HYPERLINK("https://klasma.github.io/Logging_0682/artfynd/A 68409-2021 artfynd.xlsx", "A 68409-2021")</f>
        <v/>
      </c>
      <c r="T19">
        <f>HYPERLINK("https://klasma.github.io/Logging_0682/kartor/A 68409-2021 karta.png", "A 68409-2021")</f>
        <v/>
      </c>
      <c r="V19">
        <f>HYPERLINK("https://klasma.github.io/Logging_0682/klagomål/A 68409-2021 FSC-klagomål.docx", "A 68409-2021")</f>
        <v/>
      </c>
      <c r="W19">
        <f>HYPERLINK("https://klasma.github.io/Logging_0682/klagomålsmail/A 68409-2021 FSC-klagomål mail.docx", "A 68409-2021")</f>
        <v/>
      </c>
      <c r="X19">
        <f>HYPERLINK("https://klasma.github.io/Logging_0682/tillsyn/A 68409-2021 tillsynsbegäran.docx", "A 68409-2021")</f>
        <v/>
      </c>
      <c r="Y19">
        <f>HYPERLINK("https://klasma.github.io/Logging_0682/tillsynsmail/A 68409-2021 tillsynsbegäran mail.docx", "A 68409-2021")</f>
        <v/>
      </c>
    </row>
    <row r="20" ht="15" customHeight="1">
      <c r="A20" t="inlineStr">
        <is>
          <t>A 70820-2021</t>
        </is>
      </c>
      <c r="B20" s="1" t="n">
        <v>44537</v>
      </c>
      <c r="C20" s="1" t="n">
        <v>45821</v>
      </c>
      <c r="D20" t="inlineStr">
        <is>
          <t>JÖNKÖPINGS LÄN</t>
        </is>
      </c>
      <c r="E20" t="inlineStr">
        <is>
          <t>NÄSSJÖ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HYPERLINK("https://klasma.github.io/Logging_0682/artfynd/A 70820-2021 artfynd.xlsx", "A 70820-2021")</f>
        <v/>
      </c>
      <c r="T20">
        <f>HYPERLINK("https://klasma.github.io/Logging_0682/kartor/A 70820-2021 karta.png", "A 70820-2021")</f>
        <v/>
      </c>
      <c r="V20">
        <f>HYPERLINK("https://klasma.github.io/Logging_0682/klagomål/A 70820-2021 FSC-klagomål.docx", "A 70820-2021")</f>
        <v/>
      </c>
      <c r="W20">
        <f>HYPERLINK("https://klasma.github.io/Logging_0682/klagomålsmail/A 70820-2021 FSC-klagomål mail.docx", "A 70820-2021")</f>
        <v/>
      </c>
      <c r="X20">
        <f>HYPERLINK("https://klasma.github.io/Logging_0682/tillsyn/A 70820-2021 tillsynsbegäran.docx", "A 70820-2021")</f>
        <v/>
      </c>
      <c r="Y20">
        <f>HYPERLINK("https://klasma.github.io/Logging_0682/tillsynsmail/A 70820-2021 tillsynsbegäran mail.docx", "A 70820-2021")</f>
        <v/>
      </c>
      <c r="Z20">
        <f>HYPERLINK("https://klasma.github.io/Logging_0682/fåglar/A 70820-2021 prioriterade fågelarter.docx", "A 70820-2021")</f>
        <v/>
      </c>
    </row>
    <row r="21" ht="15" customHeight="1">
      <c r="A21" t="inlineStr">
        <is>
          <t>A 43577-2022</t>
        </is>
      </c>
      <c r="B21" s="1" t="n">
        <v>44837</v>
      </c>
      <c r="C21" s="1" t="n">
        <v>45821</v>
      </c>
      <c r="D21" t="inlineStr">
        <is>
          <t>JÖNKÖPINGS LÄN</t>
        </is>
      </c>
      <c r="E21" t="inlineStr">
        <is>
          <t>NÄSSJÖ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43577-2022 artfynd.xlsx", "A 43577-2022")</f>
        <v/>
      </c>
      <c r="T21">
        <f>HYPERLINK("https://klasma.github.io/Logging_0682/kartor/A 43577-2022 karta.png", "A 43577-2022")</f>
        <v/>
      </c>
      <c r="V21">
        <f>HYPERLINK("https://klasma.github.io/Logging_0682/klagomål/A 43577-2022 FSC-klagomål.docx", "A 43577-2022")</f>
        <v/>
      </c>
      <c r="W21">
        <f>HYPERLINK("https://klasma.github.io/Logging_0682/klagomålsmail/A 43577-2022 FSC-klagomål mail.docx", "A 43577-2022")</f>
        <v/>
      </c>
      <c r="X21">
        <f>HYPERLINK("https://klasma.github.io/Logging_0682/tillsyn/A 43577-2022 tillsynsbegäran.docx", "A 43577-2022")</f>
        <v/>
      </c>
      <c r="Y21">
        <f>HYPERLINK("https://klasma.github.io/Logging_0682/tillsynsmail/A 43577-2022 tillsynsbegäran mail.docx", "A 43577-2022")</f>
        <v/>
      </c>
    </row>
    <row r="22" ht="15" customHeight="1">
      <c r="A22" t="inlineStr">
        <is>
          <t>A 44129-2022</t>
        </is>
      </c>
      <c r="B22" s="1" t="n">
        <v>44839</v>
      </c>
      <c r="C22" s="1" t="n">
        <v>45821</v>
      </c>
      <c r="D22" t="inlineStr">
        <is>
          <t>JÖNKÖPINGS LÄN</t>
        </is>
      </c>
      <c r="E22" t="inlineStr">
        <is>
          <t>NÄSSJÖ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44129-2022 artfynd.xlsx", "A 44129-2022")</f>
        <v/>
      </c>
      <c r="T22">
        <f>HYPERLINK("https://klasma.github.io/Logging_0682/kartor/A 44129-2022 karta.png", "A 44129-2022")</f>
        <v/>
      </c>
      <c r="U22">
        <f>HYPERLINK("https://klasma.github.io/Logging_0682/knärot/A 44129-2022 karta knärot.png", "A 44129-2022")</f>
        <v/>
      </c>
      <c r="V22">
        <f>HYPERLINK("https://klasma.github.io/Logging_0682/klagomål/A 44129-2022 FSC-klagomål.docx", "A 44129-2022")</f>
        <v/>
      </c>
      <c r="W22">
        <f>HYPERLINK("https://klasma.github.io/Logging_0682/klagomålsmail/A 44129-2022 FSC-klagomål mail.docx", "A 44129-2022")</f>
        <v/>
      </c>
      <c r="X22">
        <f>HYPERLINK("https://klasma.github.io/Logging_0682/tillsyn/A 44129-2022 tillsynsbegäran.docx", "A 44129-2022")</f>
        <v/>
      </c>
      <c r="Y22">
        <f>HYPERLINK("https://klasma.github.io/Logging_0682/tillsynsmail/A 44129-2022 tillsynsbegäran mail.docx", "A 44129-2022")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45821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45821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254-2023</t>
        </is>
      </c>
      <c r="B25" s="1" t="n">
        <v>44928</v>
      </c>
      <c r="C25" s="1" t="n">
        <v>45821</v>
      </c>
      <c r="D25" t="inlineStr">
        <is>
          <t>JÖNKÖPINGS LÄN</t>
        </is>
      </c>
      <c r="E25" t="inlineStr">
        <is>
          <t>NÄSSJÖ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HYPERLINK("https://klasma.github.io/Logging_0682/artfynd/A 254-2023 artfynd.xlsx", "A 254-2023")</f>
        <v/>
      </c>
      <c r="T25">
        <f>HYPERLINK("https://klasma.github.io/Logging_0682/kartor/A 254-2023 karta.png", "A 254-2023")</f>
        <v/>
      </c>
      <c r="V25">
        <f>HYPERLINK("https://klasma.github.io/Logging_0682/klagomål/A 254-2023 FSC-klagomål.docx", "A 254-2023")</f>
        <v/>
      </c>
      <c r="W25">
        <f>HYPERLINK("https://klasma.github.io/Logging_0682/klagomålsmail/A 254-2023 FSC-klagomål mail.docx", "A 254-2023")</f>
        <v/>
      </c>
      <c r="X25">
        <f>HYPERLINK("https://klasma.github.io/Logging_0682/tillsyn/A 254-2023 tillsynsbegäran.docx", "A 254-2023")</f>
        <v/>
      </c>
      <c r="Y25">
        <f>HYPERLINK("https://klasma.github.io/Logging_0682/tillsynsmail/A 254-2023 tillsynsbegäran mail.docx", "A 254-2023")</f>
        <v/>
      </c>
      <c r="Z25">
        <f>HYPERLINK("https://klasma.github.io/Logging_0682/fåglar/A 254-2023 prioriterade fågelarter.docx", "A 254-2023")</f>
        <v/>
      </c>
    </row>
    <row r="26" ht="15" customHeight="1">
      <c r="A26" t="inlineStr">
        <is>
          <t>A 18880-2023</t>
        </is>
      </c>
      <c r="B26" s="1" t="n">
        <v>45044</v>
      </c>
      <c r="C26" s="1" t="n">
        <v>45821</v>
      </c>
      <c r="D26" t="inlineStr">
        <is>
          <t>JÖNKÖPINGS LÄN</t>
        </is>
      </c>
      <c r="E26" t="inlineStr">
        <is>
          <t>NÄSSJÖ</t>
        </is>
      </c>
      <c r="F26" t="inlineStr">
        <is>
          <t>Kyrkan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HYPERLINK("https://klasma.github.io/Logging_0682/artfynd/A 18880-2023 artfynd.xlsx", "A 18880-2023")</f>
        <v/>
      </c>
      <c r="T26">
        <f>HYPERLINK("https://klasma.github.io/Logging_0682/kartor/A 18880-2023 karta.png", "A 18880-2023")</f>
        <v/>
      </c>
      <c r="V26">
        <f>HYPERLINK("https://klasma.github.io/Logging_0682/klagomål/A 18880-2023 FSC-klagomål.docx", "A 18880-2023")</f>
        <v/>
      </c>
      <c r="W26">
        <f>HYPERLINK("https://klasma.github.io/Logging_0682/klagomålsmail/A 18880-2023 FSC-klagomål mail.docx", "A 18880-2023")</f>
        <v/>
      </c>
      <c r="X26">
        <f>HYPERLINK("https://klasma.github.io/Logging_0682/tillsyn/A 18880-2023 tillsynsbegäran.docx", "A 18880-2023")</f>
        <v/>
      </c>
      <c r="Y26">
        <f>HYPERLINK("https://klasma.github.io/Logging_0682/tillsynsmail/A 18880-2023 tillsynsbegäran mail.docx", "A 18880-2023")</f>
        <v/>
      </c>
    </row>
    <row r="27" ht="15" customHeight="1">
      <c r="A27" t="inlineStr">
        <is>
          <t>A 25705-2023</t>
        </is>
      </c>
      <c r="B27" s="1" t="n">
        <v>45090</v>
      </c>
      <c r="C27" s="1" t="n">
        <v>45821</v>
      </c>
      <c r="D27" t="inlineStr">
        <is>
          <t>JÖNKÖPINGS LÄN</t>
        </is>
      </c>
      <c r="E27" t="inlineStr">
        <is>
          <t>NÄSSJÖ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HYPERLINK("https://klasma.github.io/Logging_0682/artfynd/A 25705-2023 artfynd.xlsx", "A 25705-2023")</f>
        <v/>
      </c>
      <c r="T27">
        <f>HYPERLINK("https://klasma.github.io/Logging_0682/kartor/A 25705-2023 karta.png", "A 25705-2023")</f>
        <v/>
      </c>
      <c r="V27">
        <f>HYPERLINK("https://klasma.github.io/Logging_0682/klagomål/A 25705-2023 FSC-klagomål.docx", "A 25705-2023")</f>
        <v/>
      </c>
      <c r="W27">
        <f>HYPERLINK("https://klasma.github.io/Logging_0682/klagomålsmail/A 25705-2023 FSC-klagomål mail.docx", "A 25705-2023")</f>
        <v/>
      </c>
      <c r="X27">
        <f>HYPERLINK("https://klasma.github.io/Logging_0682/tillsyn/A 25705-2023 tillsynsbegäran.docx", "A 25705-2023")</f>
        <v/>
      </c>
      <c r="Y27">
        <f>HYPERLINK("https://klasma.github.io/Logging_0682/tillsynsmail/A 25705-2023 tillsynsbegäran mail.docx", "A 25705-2023")</f>
        <v/>
      </c>
    </row>
    <row r="28" ht="15" customHeight="1">
      <c r="A28" t="inlineStr">
        <is>
          <t>A 37186-2023</t>
        </is>
      </c>
      <c r="B28" s="1" t="n">
        <v>45155</v>
      </c>
      <c r="C28" s="1" t="n">
        <v>45821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HYPERLINK("https://klasma.github.io/Logging_0682/artfynd/A 37186-2023 artfynd.xlsx", "A 37186-2023")</f>
        <v/>
      </c>
      <c r="T28">
        <f>HYPERLINK("https://klasma.github.io/Logging_0682/kartor/A 37186-2023 karta.png", "A 37186-2023")</f>
        <v/>
      </c>
      <c r="V28">
        <f>HYPERLINK("https://klasma.github.io/Logging_0682/klagomål/A 37186-2023 FSC-klagomål.docx", "A 37186-2023")</f>
        <v/>
      </c>
      <c r="W28">
        <f>HYPERLINK("https://klasma.github.io/Logging_0682/klagomålsmail/A 37186-2023 FSC-klagomål mail.docx", "A 37186-2023")</f>
        <v/>
      </c>
      <c r="X28">
        <f>HYPERLINK("https://klasma.github.io/Logging_0682/tillsyn/A 37186-2023 tillsynsbegäran.docx", "A 37186-2023")</f>
        <v/>
      </c>
      <c r="Y28">
        <f>HYPERLINK("https://klasma.github.io/Logging_0682/tillsynsmail/A 37186-2023 tillsynsbegäran mail.docx", "A 37186-2023")</f>
        <v/>
      </c>
      <c r="Z28">
        <f>HYPERLINK("https://klasma.github.io/Logging_0682/fåglar/A 37186-2023 prioriterade fågelarter.docx", "A 37186-2023")</f>
        <v/>
      </c>
    </row>
    <row r="29" ht="15" customHeight="1">
      <c r="A29" t="inlineStr">
        <is>
          <t>A 43351-2023</t>
        </is>
      </c>
      <c r="B29" s="1" t="n">
        <v>45183</v>
      </c>
      <c r="C29" s="1" t="n">
        <v>45821</v>
      </c>
      <c r="D29" t="inlineStr">
        <is>
          <t>JÖNKÖPINGS LÄN</t>
        </is>
      </c>
      <c r="E29" t="inlineStr">
        <is>
          <t>NÄSSJÖ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HYPERLINK("https://klasma.github.io/Logging_0682/artfynd/A 43351-2023 artfynd.xlsx", "A 43351-2023")</f>
        <v/>
      </c>
      <c r="T29">
        <f>HYPERLINK("https://klasma.github.io/Logging_0682/kartor/A 43351-2023 karta.png", "A 43351-2023")</f>
        <v/>
      </c>
      <c r="V29">
        <f>HYPERLINK("https://klasma.github.io/Logging_0682/klagomål/A 43351-2023 FSC-klagomål.docx", "A 43351-2023")</f>
        <v/>
      </c>
      <c r="W29">
        <f>HYPERLINK("https://klasma.github.io/Logging_0682/klagomålsmail/A 43351-2023 FSC-klagomål mail.docx", "A 43351-2023")</f>
        <v/>
      </c>
      <c r="X29">
        <f>HYPERLINK("https://klasma.github.io/Logging_0682/tillsyn/A 43351-2023 tillsynsbegäran.docx", "A 43351-2023")</f>
        <v/>
      </c>
      <c r="Y29">
        <f>HYPERLINK("https://klasma.github.io/Logging_0682/tillsynsmail/A 43351-2023 tillsynsbegäran mail.docx", "A 43351-2023")</f>
        <v/>
      </c>
    </row>
    <row r="30" ht="15" customHeight="1">
      <c r="A30" t="inlineStr">
        <is>
          <t>A 4616-2024</t>
        </is>
      </c>
      <c r="B30" s="1" t="n">
        <v>45328</v>
      </c>
      <c r="C30" s="1" t="n">
        <v>45821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HYPERLINK("https://klasma.github.io/Logging_0682/artfynd/A 4616-2024 artfynd.xlsx", "A 4616-2024")</f>
        <v/>
      </c>
      <c r="T30">
        <f>HYPERLINK("https://klasma.github.io/Logging_0682/kartor/A 4616-2024 karta.png", "A 4616-2024")</f>
        <v/>
      </c>
      <c r="V30">
        <f>HYPERLINK("https://klasma.github.io/Logging_0682/klagomål/A 4616-2024 FSC-klagomål.docx", "A 4616-2024")</f>
        <v/>
      </c>
      <c r="W30">
        <f>HYPERLINK("https://klasma.github.io/Logging_0682/klagomålsmail/A 4616-2024 FSC-klagomål mail.docx", "A 4616-2024")</f>
        <v/>
      </c>
      <c r="X30">
        <f>HYPERLINK("https://klasma.github.io/Logging_0682/tillsyn/A 4616-2024 tillsynsbegäran.docx", "A 4616-2024")</f>
        <v/>
      </c>
      <c r="Y30">
        <f>HYPERLINK("https://klasma.github.io/Logging_0682/tillsynsmail/A 4616-2024 tillsynsbegäran mail.docx", "A 4616-2024")</f>
        <v/>
      </c>
    </row>
    <row r="31" ht="15" customHeight="1">
      <c r="A31" t="inlineStr">
        <is>
          <t>A 4630-2024</t>
        </is>
      </c>
      <c r="B31" s="1" t="n">
        <v>45328</v>
      </c>
      <c r="C31" s="1" t="n">
        <v>45821</v>
      </c>
      <c r="D31" t="inlineStr">
        <is>
          <t>JÖNKÖPINGS LÄN</t>
        </is>
      </c>
      <c r="E31" t="inlineStr">
        <is>
          <t>NÄSSJÖ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HYPERLINK("https://klasma.github.io/Logging_0682/artfynd/A 4630-2024 artfynd.xlsx", "A 4630-2024")</f>
        <v/>
      </c>
      <c r="T31">
        <f>HYPERLINK("https://klasma.github.io/Logging_0682/kartor/A 4630-2024 karta.png", "A 4630-2024")</f>
        <v/>
      </c>
      <c r="V31">
        <f>HYPERLINK("https://klasma.github.io/Logging_0682/klagomål/A 4630-2024 FSC-klagomål.docx", "A 4630-2024")</f>
        <v/>
      </c>
      <c r="W31">
        <f>HYPERLINK("https://klasma.github.io/Logging_0682/klagomålsmail/A 4630-2024 FSC-klagomål mail.docx", "A 4630-2024")</f>
        <v/>
      </c>
      <c r="X31">
        <f>HYPERLINK("https://klasma.github.io/Logging_0682/tillsyn/A 4630-2024 tillsynsbegäran.docx", "A 4630-2024")</f>
        <v/>
      </c>
      <c r="Y31">
        <f>HYPERLINK("https://klasma.github.io/Logging_0682/tillsynsmail/A 4630-2024 tillsynsbegäran mail.docx", "A 4630-2024")</f>
        <v/>
      </c>
      <c r="Z31">
        <f>HYPERLINK("https://klasma.github.io/Logging_0682/fåglar/A 4630-2024 prioriterade fågelarter.docx", "A 4630-2024")</f>
        <v/>
      </c>
    </row>
    <row r="32" ht="15" customHeight="1">
      <c r="A32" t="inlineStr">
        <is>
          <t>A 34909-2024</t>
        </is>
      </c>
      <c r="B32" s="1" t="n">
        <v>45527</v>
      </c>
      <c r="C32" s="1" t="n">
        <v>45821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34909-2024 artfynd.xlsx", "A 34909-2024")</f>
        <v/>
      </c>
      <c r="T32">
        <f>HYPERLINK("https://klasma.github.io/Logging_0682/kartor/A 34909-2024 karta.png", "A 34909-2024")</f>
        <v/>
      </c>
      <c r="V32">
        <f>HYPERLINK("https://klasma.github.io/Logging_0682/klagomål/A 34909-2024 FSC-klagomål.docx", "A 34909-2024")</f>
        <v/>
      </c>
      <c r="W32">
        <f>HYPERLINK("https://klasma.github.io/Logging_0682/klagomålsmail/A 34909-2024 FSC-klagomål mail.docx", "A 34909-2024")</f>
        <v/>
      </c>
      <c r="X32">
        <f>HYPERLINK("https://klasma.github.io/Logging_0682/tillsyn/A 34909-2024 tillsynsbegäran.docx", "A 34909-2024")</f>
        <v/>
      </c>
      <c r="Y32">
        <f>HYPERLINK("https://klasma.github.io/Logging_0682/tillsynsmail/A 34909-2024 tillsynsbegäran mail.docx", "A 34909-2024")</f>
        <v/>
      </c>
    </row>
    <row r="33" ht="15" customHeight="1">
      <c r="A33" t="inlineStr">
        <is>
          <t>A 35328-2024</t>
        </is>
      </c>
      <c r="B33" s="1" t="n">
        <v>45530</v>
      </c>
      <c r="C33" s="1" t="n">
        <v>45821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HYPERLINK("https://klasma.github.io/Logging_0682/artfynd/A 35328-2024 artfynd.xlsx", "A 35328-2024")</f>
        <v/>
      </c>
      <c r="T33">
        <f>HYPERLINK("https://klasma.github.io/Logging_0682/kartor/A 35328-2024 karta.png", "A 35328-2024")</f>
        <v/>
      </c>
      <c r="V33">
        <f>HYPERLINK("https://klasma.github.io/Logging_0682/klagomål/A 35328-2024 FSC-klagomål.docx", "A 35328-2024")</f>
        <v/>
      </c>
      <c r="W33">
        <f>HYPERLINK("https://klasma.github.io/Logging_0682/klagomålsmail/A 35328-2024 FSC-klagomål mail.docx", "A 35328-2024")</f>
        <v/>
      </c>
      <c r="X33">
        <f>HYPERLINK("https://klasma.github.io/Logging_0682/tillsyn/A 35328-2024 tillsynsbegäran.docx", "A 35328-2024")</f>
        <v/>
      </c>
      <c r="Y33">
        <f>HYPERLINK("https://klasma.github.io/Logging_0682/tillsynsmail/A 35328-2024 tillsynsbegäran mail.docx", "A 35328-2024")</f>
        <v/>
      </c>
      <c r="Z33">
        <f>HYPERLINK("https://klasma.github.io/Logging_0682/fåglar/A 35328-2024 prioriterade fågelarter.docx", "A 35328-2024")</f>
        <v/>
      </c>
    </row>
    <row r="34" ht="15" customHeight="1">
      <c r="A34" t="inlineStr">
        <is>
          <t>A 40041-2024</t>
        </is>
      </c>
      <c r="B34" s="1" t="n">
        <v>45553</v>
      </c>
      <c r="C34" s="1" t="n">
        <v>45821</v>
      </c>
      <c r="D34" t="inlineStr">
        <is>
          <t>JÖNKÖPINGS LÄN</t>
        </is>
      </c>
      <c r="E34" t="inlineStr">
        <is>
          <t>NÄSSJÖ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HYPERLINK("https://klasma.github.io/Logging_0682/artfynd/A 40041-2024 artfynd.xlsx", "A 40041-2024")</f>
        <v/>
      </c>
      <c r="T34">
        <f>HYPERLINK("https://klasma.github.io/Logging_0682/kartor/A 40041-2024 karta.png", "A 40041-2024")</f>
        <v/>
      </c>
      <c r="V34">
        <f>HYPERLINK("https://klasma.github.io/Logging_0682/klagomål/A 40041-2024 FSC-klagomål.docx", "A 40041-2024")</f>
        <v/>
      </c>
      <c r="W34">
        <f>HYPERLINK("https://klasma.github.io/Logging_0682/klagomålsmail/A 40041-2024 FSC-klagomål mail.docx", "A 40041-2024")</f>
        <v/>
      </c>
      <c r="X34">
        <f>HYPERLINK("https://klasma.github.io/Logging_0682/tillsyn/A 40041-2024 tillsynsbegäran.docx", "A 40041-2024")</f>
        <v/>
      </c>
      <c r="Y34">
        <f>HYPERLINK("https://klasma.github.io/Logging_0682/tillsynsmail/A 40041-2024 tillsynsbegäran mail.docx", "A 40041-2024")</f>
        <v/>
      </c>
    </row>
    <row r="35" ht="15" customHeight="1">
      <c r="A35" t="inlineStr">
        <is>
          <t>A 42922-2024</t>
        </is>
      </c>
      <c r="B35" s="1" t="n">
        <v>45567</v>
      </c>
      <c r="C35" s="1" t="n">
        <v>45821</v>
      </c>
      <c r="D35" t="inlineStr">
        <is>
          <t>JÖNKÖPINGS LÄN</t>
        </is>
      </c>
      <c r="E35" t="inlineStr">
        <is>
          <t>NÄSSJÖ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HYPERLINK("https://klasma.github.io/Logging_0682/artfynd/A 42922-2024 artfynd.xlsx", "A 42922-2024")</f>
        <v/>
      </c>
      <c r="T35">
        <f>HYPERLINK("https://klasma.github.io/Logging_0682/kartor/A 42922-2024 karta.png", "A 42922-2024")</f>
        <v/>
      </c>
      <c r="V35">
        <f>HYPERLINK("https://klasma.github.io/Logging_0682/klagomål/A 42922-2024 FSC-klagomål.docx", "A 42922-2024")</f>
        <v/>
      </c>
      <c r="W35">
        <f>HYPERLINK("https://klasma.github.io/Logging_0682/klagomålsmail/A 42922-2024 FSC-klagomål mail.docx", "A 42922-2024")</f>
        <v/>
      </c>
      <c r="X35">
        <f>HYPERLINK("https://klasma.github.io/Logging_0682/tillsyn/A 42922-2024 tillsynsbegäran.docx", "A 42922-2024")</f>
        <v/>
      </c>
      <c r="Y35">
        <f>HYPERLINK("https://klasma.github.io/Logging_0682/tillsynsmail/A 42922-2024 tillsynsbegäran mail.docx", "A 42922-2024")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45821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1650-2025</t>
        </is>
      </c>
      <c r="B37" s="1" t="n">
        <v>45670</v>
      </c>
      <c r="C37" s="1" t="n">
        <v>45821</v>
      </c>
      <c r="D37" t="inlineStr">
        <is>
          <t>JÖNKÖPINGS LÄN</t>
        </is>
      </c>
      <c r="E37" t="inlineStr">
        <is>
          <t>NÄSSJÖ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1650-2025 artfynd.xlsx", "A 1650-2025")</f>
        <v/>
      </c>
      <c r="T37">
        <f>HYPERLINK("https://klasma.github.io/Logging_0682/kartor/A 1650-2025 karta.png", "A 1650-2025")</f>
        <v/>
      </c>
      <c r="V37">
        <f>HYPERLINK("https://klasma.github.io/Logging_0682/klagomål/A 1650-2025 FSC-klagomål.docx", "A 1650-2025")</f>
        <v/>
      </c>
      <c r="W37">
        <f>HYPERLINK("https://klasma.github.io/Logging_0682/klagomålsmail/A 1650-2025 FSC-klagomål mail.docx", "A 1650-2025")</f>
        <v/>
      </c>
      <c r="X37">
        <f>HYPERLINK("https://klasma.github.io/Logging_0682/tillsyn/A 1650-2025 tillsynsbegäran.docx", "A 1650-2025")</f>
        <v/>
      </c>
      <c r="Y37">
        <f>HYPERLINK("https://klasma.github.io/Logging_0682/tillsynsmail/A 1650-2025 tillsynsbegäran mail.docx", "A 1650-2025")</f>
        <v/>
      </c>
    </row>
    <row r="38" ht="15" customHeight="1">
      <c r="A38" t="inlineStr">
        <is>
          <t>A 17924-2019</t>
        </is>
      </c>
      <c r="B38" s="1" t="n">
        <v>43557</v>
      </c>
      <c r="C38" s="1" t="n">
        <v>45821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18709-2019</t>
        </is>
      </c>
      <c r="B39" s="1" t="n">
        <v>43560</v>
      </c>
      <c r="C39" s="1" t="n">
        <v>45821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18794-2019</t>
        </is>
      </c>
      <c r="B40" s="1" t="n">
        <v>43562</v>
      </c>
      <c r="C40" s="1" t="n">
        <v>45821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20383-2019</t>
        </is>
      </c>
      <c r="B41" s="1" t="n">
        <v>43571</v>
      </c>
      <c r="C41" s="1" t="n">
        <v>45821</v>
      </c>
      <c r="D41" t="inlineStr">
        <is>
          <t>JÖNKÖPINGS LÄN</t>
        </is>
      </c>
      <c r="E41" t="inlineStr">
        <is>
          <t>NÄSSJÖ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21800-2019</t>
        </is>
      </c>
      <c r="B42" s="1" t="n">
        <v>43582</v>
      </c>
      <c r="C42" s="1" t="n">
        <v>45821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22818-2019</t>
        </is>
      </c>
      <c r="B43" s="1" t="n">
        <v>43590</v>
      </c>
      <c r="C43" s="1" t="n">
        <v>45821</v>
      </c>
      <c r="D43" t="inlineStr">
        <is>
          <t>JÖNKÖPINGS LÄN</t>
        </is>
      </c>
      <c r="E43" t="inlineStr">
        <is>
          <t>NÄSSJÖ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23119-2019</t>
        </is>
      </c>
      <c r="B44" s="1" t="n">
        <v>43592</v>
      </c>
      <c r="C44" s="1" t="n">
        <v>45821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23120-2019</t>
        </is>
      </c>
      <c r="B45" s="1" t="n">
        <v>43592</v>
      </c>
      <c r="C45" s="1" t="n">
        <v>45821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24172-2019</t>
        </is>
      </c>
      <c r="B46" s="1" t="n">
        <v>43599</v>
      </c>
      <c r="C46" s="1" t="n">
        <v>45821</v>
      </c>
      <c r="D46" t="inlineStr">
        <is>
          <t>JÖNKÖPINGS LÄN</t>
        </is>
      </c>
      <c r="E46" t="inlineStr">
        <is>
          <t>NÄSSJÖ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24350-2019</t>
        </is>
      </c>
      <c r="B47" s="1" t="n">
        <v>43599</v>
      </c>
      <c r="C47" s="1" t="n">
        <v>45821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24173-2019</t>
        </is>
      </c>
      <c r="B48" s="1" t="n">
        <v>43599</v>
      </c>
      <c r="C48" s="1" t="n">
        <v>45821</v>
      </c>
      <c r="D48" t="inlineStr">
        <is>
          <t>JÖNKÖPINGS LÄN</t>
        </is>
      </c>
      <c r="E48" t="inlineStr">
        <is>
          <t>NÄSSJÖ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24702-2019</t>
        </is>
      </c>
      <c r="B49" s="1" t="n">
        <v>43601</v>
      </c>
      <c r="C49" s="1" t="n">
        <v>45821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24700-2019</t>
        </is>
      </c>
      <c r="B50" s="1" t="n">
        <v>43601</v>
      </c>
      <c r="C50" s="1" t="n">
        <v>45821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25231-2019</t>
        </is>
      </c>
      <c r="B51" s="1" t="n">
        <v>43605</v>
      </c>
      <c r="C51" s="1" t="n">
        <v>45821</v>
      </c>
      <c r="D51" t="inlineStr">
        <is>
          <t>JÖNKÖPINGS LÄN</t>
        </is>
      </c>
      <c r="E51" t="inlineStr">
        <is>
          <t>NÄSSJÖ</t>
        </is>
      </c>
      <c r="F51" t="inlineStr">
        <is>
          <t>Övriga statliga verk och myndigheter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25700-2019</t>
        </is>
      </c>
      <c r="B52" s="1" t="n">
        <v>43607</v>
      </c>
      <c r="C52" s="1" t="n">
        <v>45821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25684-2019</t>
        </is>
      </c>
      <c r="B53" s="1" t="n">
        <v>43607</v>
      </c>
      <c r="C53" s="1" t="n">
        <v>45821</v>
      </c>
      <c r="D53" t="inlineStr">
        <is>
          <t>JÖNKÖPINGS LÄN</t>
        </is>
      </c>
      <c r="E53" t="inlineStr">
        <is>
          <t>NÄSSJÖ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25829-2019</t>
        </is>
      </c>
      <c r="B54" s="1" t="n">
        <v>43608</v>
      </c>
      <c r="C54" s="1" t="n">
        <v>45821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25831-2019</t>
        </is>
      </c>
      <c r="B55" s="1" t="n">
        <v>43608</v>
      </c>
      <c r="C55" s="1" t="n">
        <v>45821</v>
      </c>
      <c r="D55" t="inlineStr">
        <is>
          <t>JÖNKÖPINGS LÄN</t>
        </is>
      </c>
      <c r="E55" t="inlineStr">
        <is>
          <t>NÄSSJÖ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25944-2019</t>
        </is>
      </c>
      <c r="B56" s="1" t="n">
        <v>43608</v>
      </c>
      <c r="C56" s="1" t="n">
        <v>45821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26628-2019</t>
        </is>
      </c>
      <c r="B57" s="1" t="n">
        <v>43612</v>
      </c>
      <c r="C57" s="1" t="n">
        <v>45821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27965-2019</t>
        </is>
      </c>
      <c r="B58" s="1" t="n">
        <v>43620</v>
      </c>
      <c r="C58" s="1" t="n">
        <v>45821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27966-2019</t>
        </is>
      </c>
      <c r="B59" s="1" t="n">
        <v>43620</v>
      </c>
      <c r="C59" s="1" t="n">
        <v>45821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28093-2019</t>
        </is>
      </c>
      <c r="B60" s="1" t="n">
        <v>43621</v>
      </c>
      <c r="C60" s="1" t="n">
        <v>45821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30016-2019</t>
        </is>
      </c>
      <c r="B61" s="1" t="n">
        <v>43633</v>
      </c>
      <c r="C61" s="1" t="n">
        <v>45821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29968-2019</t>
        </is>
      </c>
      <c r="B62" s="1" t="n">
        <v>43633</v>
      </c>
      <c r="C62" s="1" t="n">
        <v>45821</v>
      </c>
      <c r="D62" t="inlineStr">
        <is>
          <t>JÖNKÖPINGS LÄN</t>
        </is>
      </c>
      <c r="E62" t="inlineStr">
        <is>
          <t>NÄSSJÖ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30600-2019</t>
        </is>
      </c>
      <c r="B63" s="1" t="n">
        <v>43635</v>
      </c>
      <c r="C63" s="1" t="n">
        <v>45821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30679-2019</t>
        </is>
      </c>
      <c r="B64" s="1" t="n">
        <v>43636</v>
      </c>
      <c r="C64" s="1" t="n">
        <v>45821</v>
      </c>
      <c r="D64" t="inlineStr">
        <is>
          <t>JÖNKÖPINGS LÄN</t>
        </is>
      </c>
      <c r="E64" t="inlineStr">
        <is>
          <t>NÄSSJÖ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30662-2019</t>
        </is>
      </c>
      <c r="B65" s="1" t="n">
        <v>43636</v>
      </c>
      <c r="C65" s="1" t="n">
        <v>45821</v>
      </c>
      <c r="D65" t="inlineStr">
        <is>
          <t>JÖNKÖPINGS LÄN</t>
        </is>
      </c>
      <c r="E65" t="inlineStr">
        <is>
          <t>NÄSSJÖ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30682-2019</t>
        </is>
      </c>
      <c r="B66" s="1" t="n">
        <v>43636</v>
      </c>
      <c r="C66" s="1" t="n">
        <v>45821</v>
      </c>
      <c r="D66" t="inlineStr">
        <is>
          <t>JÖNKÖPINGS LÄN</t>
        </is>
      </c>
      <c r="E66" t="inlineStr">
        <is>
          <t>NÄSSJÖ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30676-2019</t>
        </is>
      </c>
      <c r="B67" s="1" t="n">
        <v>43636</v>
      </c>
      <c r="C67" s="1" t="n">
        <v>45821</v>
      </c>
      <c r="D67" t="inlineStr">
        <is>
          <t>JÖNKÖPINGS LÄN</t>
        </is>
      </c>
      <c r="E67" t="inlineStr">
        <is>
          <t>NÄSSJÖ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32176-2019</t>
        </is>
      </c>
      <c r="B68" s="1" t="n">
        <v>43643</v>
      </c>
      <c r="C68" s="1" t="n">
        <v>45821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36434-2019</t>
        </is>
      </c>
      <c r="B69" s="1" t="n">
        <v>43670</v>
      </c>
      <c r="C69" s="1" t="n">
        <v>45821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38592-2019</t>
        </is>
      </c>
      <c r="B70" s="1" t="n">
        <v>43686</v>
      </c>
      <c r="C70" s="1" t="n">
        <v>45821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42192-2019</t>
        </is>
      </c>
      <c r="B71" s="1" t="n">
        <v>43698</v>
      </c>
      <c r="C71" s="1" t="n">
        <v>45821</v>
      </c>
      <c r="D71" t="inlineStr">
        <is>
          <t>JÖNKÖPINGS LÄN</t>
        </is>
      </c>
      <c r="E71" t="inlineStr">
        <is>
          <t>NÄSSJÖ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42226-2019</t>
        </is>
      </c>
      <c r="B72" s="1" t="n">
        <v>43698</v>
      </c>
      <c r="C72" s="1" t="n">
        <v>45821</v>
      </c>
      <c r="D72" t="inlineStr">
        <is>
          <t>JÖNKÖPINGS LÄN</t>
        </is>
      </c>
      <c r="E72" t="inlineStr">
        <is>
          <t>NÄSSJÖ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41541-2019</t>
        </is>
      </c>
      <c r="B73" s="1" t="n">
        <v>43699</v>
      </c>
      <c r="C73" s="1" t="n">
        <v>45821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42346-2019</t>
        </is>
      </c>
      <c r="B74" s="1" t="n">
        <v>43703</v>
      </c>
      <c r="C74" s="1" t="n">
        <v>45821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42843-2019</t>
        </is>
      </c>
      <c r="B75" s="1" t="n">
        <v>43705</v>
      </c>
      <c r="C75" s="1" t="n">
        <v>45821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44448-2019</t>
        </is>
      </c>
      <c r="B76" s="1" t="n">
        <v>43711</v>
      </c>
      <c r="C76" s="1" t="n">
        <v>45821</v>
      </c>
      <c r="D76" t="inlineStr">
        <is>
          <t>JÖNKÖPINGS LÄN</t>
        </is>
      </c>
      <c r="E76" t="inlineStr">
        <is>
          <t>NÄSSJÖ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45432-2019</t>
        </is>
      </c>
      <c r="B77" s="1" t="n">
        <v>43714</v>
      </c>
      <c r="C77" s="1" t="n">
        <v>45821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46994-2019</t>
        </is>
      </c>
      <c r="B78" s="1" t="n">
        <v>43720</v>
      </c>
      <c r="C78" s="1" t="n">
        <v>45821</v>
      </c>
      <c r="D78" t="inlineStr">
        <is>
          <t>JÖNKÖPINGS LÄN</t>
        </is>
      </c>
      <c r="E78" t="inlineStr">
        <is>
          <t>NÄSSJÖ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47872-2019</t>
        </is>
      </c>
      <c r="B79" s="1" t="n">
        <v>43725</v>
      </c>
      <c r="C79" s="1" t="n">
        <v>45821</v>
      </c>
      <c r="D79" t="inlineStr">
        <is>
          <t>JÖNKÖPINGS LÄN</t>
        </is>
      </c>
      <c r="E79" t="inlineStr">
        <is>
          <t>NÄSSJÖ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48281-2019</t>
        </is>
      </c>
      <c r="B80" s="1" t="n">
        <v>43726</v>
      </c>
      <c r="C80" s="1" t="n">
        <v>45821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49670-2019</t>
        </is>
      </c>
      <c r="B81" s="1" t="n">
        <v>43732</v>
      </c>
      <c r="C81" s="1" t="n">
        <v>45821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49910-2019</t>
        </is>
      </c>
      <c r="B82" s="1" t="n">
        <v>43733</v>
      </c>
      <c r="C82" s="1" t="n">
        <v>45821</v>
      </c>
      <c r="D82" t="inlineStr">
        <is>
          <t>JÖNKÖPINGS LÄN</t>
        </is>
      </c>
      <c r="E82" t="inlineStr">
        <is>
          <t>NÄSSJÖ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50141-2019</t>
        </is>
      </c>
      <c r="B83" s="1" t="n">
        <v>43734</v>
      </c>
      <c r="C83" s="1" t="n">
        <v>45821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50254-2019</t>
        </is>
      </c>
      <c r="B84" s="1" t="n">
        <v>43734</v>
      </c>
      <c r="C84" s="1" t="n">
        <v>45821</v>
      </c>
      <c r="D84" t="inlineStr">
        <is>
          <t>JÖNKÖPINGS LÄN</t>
        </is>
      </c>
      <c r="E84" t="inlineStr">
        <is>
          <t>NÄSSJÖ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50609-2019</t>
        </is>
      </c>
      <c r="B85" s="1" t="n">
        <v>43736</v>
      </c>
      <c r="C85" s="1" t="n">
        <v>45821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50608-2019</t>
        </is>
      </c>
      <c r="B86" s="1" t="n">
        <v>43736</v>
      </c>
      <c r="C86" s="1" t="n">
        <v>45821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51499-2019</t>
        </is>
      </c>
      <c r="B87" s="1" t="n">
        <v>43740</v>
      </c>
      <c r="C87" s="1" t="n">
        <v>45821</v>
      </c>
      <c r="D87" t="inlineStr">
        <is>
          <t>JÖNKÖPINGS LÄN</t>
        </is>
      </c>
      <c r="E87" t="inlineStr">
        <is>
          <t>NÄSSJÖ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51626-2019</t>
        </is>
      </c>
      <c r="B88" s="1" t="n">
        <v>43740</v>
      </c>
      <c r="C88" s="1" t="n">
        <v>45821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52124-2019</t>
        </is>
      </c>
      <c r="B89" s="1" t="n">
        <v>43742</v>
      </c>
      <c r="C89" s="1" t="n">
        <v>45821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53435-2019</t>
        </is>
      </c>
      <c r="B90" s="1" t="n">
        <v>43748</v>
      </c>
      <c r="C90" s="1" t="n">
        <v>45821</v>
      </c>
      <c r="D90" t="inlineStr">
        <is>
          <t>JÖNKÖPINGS LÄN</t>
        </is>
      </c>
      <c r="E90" t="inlineStr">
        <is>
          <t>NÄSSJÖ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53964-2019</t>
        </is>
      </c>
      <c r="B91" s="1" t="n">
        <v>43752</v>
      </c>
      <c r="C91" s="1" t="n">
        <v>45821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54256-2019</t>
        </is>
      </c>
      <c r="B92" s="1" t="n">
        <v>43753</v>
      </c>
      <c r="C92" s="1" t="n">
        <v>45821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54262-2019</t>
        </is>
      </c>
      <c r="B93" s="1" t="n">
        <v>43753</v>
      </c>
      <c r="C93" s="1" t="n">
        <v>45821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55287-2019</t>
        </is>
      </c>
      <c r="B94" s="1" t="n">
        <v>43756</v>
      </c>
      <c r="C94" s="1" t="n">
        <v>45821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55665-2019</t>
        </is>
      </c>
      <c r="B95" s="1" t="n">
        <v>43760</v>
      </c>
      <c r="C95" s="1" t="n">
        <v>45821</v>
      </c>
      <c r="D95" t="inlineStr">
        <is>
          <t>JÖNKÖPINGS LÄN</t>
        </is>
      </c>
      <c r="E95" t="inlineStr">
        <is>
          <t>NÄSSJÖ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57474-2019</t>
        </is>
      </c>
      <c r="B96" s="1" t="n">
        <v>43767</v>
      </c>
      <c r="C96" s="1" t="n">
        <v>45821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57837-2019</t>
        </is>
      </c>
      <c r="B97" s="1" t="n">
        <v>43768</v>
      </c>
      <c r="C97" s="1" t="n">
        <v>45821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58153-2019</t>
        </is>
      </c>
      <c r="B98" s="1" t="n">
        <v>43769</v>
      </c>
      <c r="C98" s="1" t="n">
        <v>45821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58344-2019</t>
        </is>
      </c>
      <c r="B99" s="1" t="n">
        <v>43770</v>
      </c>
      <c r="C99" s="1" t="n">
        <v>45821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58664-2019</t>
        </is>
      </c>
      <c r="B100" s="1" t="n">
        <v>43773</v>
      </c>
      <c r="C100" s="1" t="n">
        <v>45821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59434-2019</t>
        </is>
      </c>
      <c r="B101" s="1" t="n">
        <v>43776</v>
      </c>
      <c r="C101" s="1" t="n">
        <v>45821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60211-2019</t>
        </is>
      </c>
      <c r="B102" s="1" t="n">
        <v>43776</v>
      </c>
      <c r="C102" s="1" t="n">
        <v>45821</v>
      </c>
      <c r="D102" t="inlineStr">
        <is>
          <t>JÖNKÖPINGS LÄN</t>
        </is>
      </c>
      <c r="E102" t="inlineStr">
        <is>
          <t>NÄSSJÖ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62126-2019</t>
        </is>
      </c>
      <c r="B103" s="1" t="n">
        <v>43787</v>
      </c>
      <c r="C103" s="1" t="n">
        <v>45821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62134-2019</t>
        </is>
      </c>
      <c r="B104" s="1" t="n">
        <v>43787</v>
      </c>
      <c r="C104" s="1" t="n">
        <v>45821</v>
      </c>
      <c r="D104" t="inlineStr">
        <is>
          <t>JÖNKÖPINGS LÄN</t>
        </is>
      </c>
      <c r="E104" t="inlineStr">
        <is>
          <t>NÄSSJÖ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64595-2019</t>
        </is>
      </c>
      <c r="B105" s="1" t="n">
        <v>43798</v>
      </c>
      <c r="C105" s="1" t="n">
        <v>45821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64612-2019</t>
        </is>
      </c>
      <c r="B106" s="1" t="n">
        <v>43798</v>
      </c>
      <c r="C106" s="1" t="n">
        <v>45821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64672-2019</t>
        </is>
      </c>
      <c r="B107" s="1" t="n">
        <v>43798</v>
      </c>
      <c r="C107" s="1" t="n">
        <v>45821</v>
      </c>
      <c r="D107" t="inlineStr">
        <is>
          <t>JÖNKÖPINGS LÄN</t>
        </is>
      </c>
      <c r="E107" t="inlineStr">
        <is>
          <t>NÄSSJÖ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64859-2019</t>
        </is>
      </c>
      <c r="B108" s="1" t="n">
        <v>43801</v>
      </c>
      <c r="C108" s="1" t="n">
        <v>45821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67205-2019</t>
        </is>
      </c>
      <c r="B109" s="1" t="n">
        <v>43811</v>
      </c>
      <c r="C109" s="1" t="n">
        <v>45821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67465-2019</t>
        </is>
      </c>
      <c r="B110" s="1" t="n">
        <v>43814</v>
      </c>
      <c r="C110" s="1" t="n">
        <v>45821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296-2020</t>
        </is>
      </c>
      <c r="B111" s="1" t="n">
        <v>43816</v>
      </c>
      <c r="C111" s="1" t="n">
        <v>45821</v>
      </c>
      <c r="D111" t="inlineStr">
        <is>
          <t>JÖNKÖPINGS LÄN</t>
        </is>
      </c>
      <c r="E111" t="inlineStr">
        <is>
          <t>NÄSSJÖ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68422-2019</t>
        </is>
      </c>
      <c r="B112" s="1" t="n">
        <v>43818</v>
      </c>
      <c r="C112" s="1" t="n">
        <v>45821</v>
      </c>
      <c r="D112" t="inlineStr">
        <is>
          <t>JÖNKÖPINGS LÄN</t>
        </is>
      </c>
      <c r="E112" t="inlineStr">
        <is>
          <t>NÄSSJÖ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205-2020</t>
        </is>
      </c>
      <c r="B113" s="1" t="n">
        <v>43833</v>
      </c>
      <c r="C113" s="1" t="n">
        <v>45821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1750-2020</t>
        </is>
      </c>
      <c r="B114" s="1" t="n">
        <v>43833</v>
      </c>
      <c r="C114" s="1" t="n">
        <v>45821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206-2020</t>
        </is>
      </c>
      <c r="B115" s="1" t="n">
        <v>43833</v>
      </c>
      <c r="C115" s="1" t="n">
        <v>45821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202-2020</t>
        </is>
      </c>
      <c r="B116" s="1" t="n">
        <v>43833</v>
      </c>
      <c r="C116" s="1" t="n">
        <v>45821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203-2020</t>
        </is>
      </c>
      <c r="B117" s="1" t="n">
        <v>43833</v>
      </c>
      <c r="C117" s="1" t="n">
        <v>45821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207-2020</t>
        </is>
      </c>
      <c r="B118" s="1" t="n">
        <v>43833</v>
      </c>
      <c r="C118" s="1" t="n">
        <v>45821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204-2020</t>
        </is>
      </c>
      <c r="B119" s="1" t="n">
        <v>43833</v>
      </c>
      <c r="C119" s="1" t="n">
        <v>45821</v>
      </c>
      <c r="D119" t="inlineStr">
        <is>
          <t>JÖNKÖPINGS LÄN</t>
        </is>
      </c>
      <c r="E119" t="inlineStr">
        <is>
          <t>NÄSSJÖ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2402-2020</t>
        </is>
      </c>
      <c r="B120" s="1" t="n">
        <v>43840</v>
      </c>
      <c r="C120" s="1" t="n">
        <v>45821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2335-2020</t>
        </is>
      </c>
      <c r="B121" s="1" t="n">
        <v>43840</v>
      </c>
      <c r="C121" s="1" t="n">
        <v>45821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1565-2020</t>
        </is>
      </c>
      <c r="B122" s="1" t="n">
        <v>43844</v>
      </c>
      <c r="C122" s="1" t="n">
        <v>45821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2057-2020</t>
        </is>
      </c>
      <c r="B123" s="1" t="n">
        <v>43845</v>
      </c>
      <c r="C123" s="1" t="n">
        <v>45821</v>
      </c>
      <c r="D123" t="inlineStr">
        <is>
          <t>JÖNKÖPINGS LÄN</t>
        </is>
      </c>
      <c r="E123" t="inlineStr">
        <is>
          <t>NÄSSJÖ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3385-2020</t>
        </is>
      </c>
      <c r="B124" s="1" t="n">
        <v>43845</v>
      </c>
      <c r="C124" s="1" t="n">
        <v>45821</v>
      </c>
      <c r="D124" t="inlineStr">
        <is>
          <t>JÖNKÖPINGS LÄN</t>
        </is>
      </c>
      <c r="E124" t="inlineStr">
        <is>
          <t>NÄSSJÖ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4552-2020</t>
        </is>
      </c>
      <c r="B125" s="1" t="n">
        <v>43850</v>
      </c>
      <c r="C125" s="1" t="n">
        <v>45821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3750-2020</t>
        </is>
      </c>
      <c r="B126" s="1" t="n">
        <v>43854</v>
      </c>
      <c r="C126" s="1" t="n">
        <v>45821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5473-2020</t>
        </is>
      </c>
      <c r="B127" s="1" t="n">
        <v>43858</v>
      </c>
      <c r="C127" s="1" t="n">
        <v>45821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5503-2020</t>
        </is>
      </c>
      <c r="B128" s="1" t="n">
        <v>43861</v>
      </c>
      <c r="C128" s="1" t="n">
        <v>45821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5812-2020</t>
        </is>
      </c>
      <c r="B129" s="1" t="n">
        <v>43861</v>
      </c>
      <c r="C129" s="1" t="n">
        <v>45821</v>
      </c>
      <c r="D129" t="inlineStr">
        <is>
          <t>JÖNKÖPINGS LÄN</t>
        </is>
      </c>
      <c r="E129" t="inlineStr">
        <is>
          <t>NÄSSJÖ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5487-2020</t>
        </is>
      </c>
      <c r="B130" s="1" t="n">
        <v>43861</v>
      </c>
      <c r="C130" s="1" t="n">
        <v>45821</v>
      </c>
      <c r="D130" t="inlineStr">
        <is>
          <t>JÖNKÖPINGS LÄN</t>
        </is>
      </c>
      <c r="E130" t="inlineStr">
        <is>
          <t>NÄSSJÖ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6399-2020</t>
        </is>
      </c>
      <c r="B131" s="1" t="n">
        <v>43866</v>
      </c>
      <c r="C131" s="1" t="n">
        <v>45821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6394-2020</t>
        </is>
      </c>
      <c r="B132" s="1" t="n">
        <v>43866</v>
      </c>
      <c r="C132" s="1" t="n">
        <v>45821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8019-2020</t>
        </is>
      </c>
      <c r="B133" s="1" t="n">
        <v>43873</v>
      </c>
      <c r="C133" s="1" t="n">
        <v>45821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8017-2020</t>
        </is>
      </c>
      <c r="B134" s="1" t="n">
        <v>43873</v>
      </c>
      <c r="C134" s="1" t="n">
        <v>45821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8329-2020</t>
        </is>
      </c>
      <c r="B135" s="1" t="n">
        <v>43875</v>
      </c>
      <c r="C135" s="1" t="n">
        <v>45821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8498-2020</t>
        </is>
      </c>
      <c r="B136" s="1" t="n">
        <v>43875</v>
      </c>
      <c r="C136" s="1" t="n">
        <v>45821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10723-2020</t>
        </is>
      </c>
      <c r="B137" s="1" t="n">
        <v>43888</v>
      </c>
      <c r="C137" s="1" t="n">
        <v>45821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12220-2020</t>
        </is>
      </c>
      <c r="B138" s="1" t="n">
        <v>43895</v>
      </c>
      <c r="C138" s="1" t="n">
        <v>45821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12977-2020</t>
        </is>
      </c>
      <c r="B139" s="1" t="n">
        <v>43900</v>
      </c>
      <c r="C139" s="1" t="n">
        <v>45821</v>
      </c>
      <c r="D139" t="inlineStr">
        <is>
          <t>JÖNKÖPINGS LÄN</t>
        </is>
      </c>
      <c r="E139" t="inlineStr">
        <is>
          <t>NÄSSJÖ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12999-2020</t>
        </is>
      </c>
      <c r="B140" s="1" t="n">
        <v>43900</v>
      </c>
      <c r="C140" s="1" t="n">
        <v>45821</v>
      </c>
      <c r="D140" t="inlineStr">
        <is>
          <t>JÖNKÖPINGS LÄN</t>
        </is>
      </c>
      <c r="E140" t="inlineStr">
        <is>
          <t>NÄSSJÖ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13085-2020</t>
        </is>
      </c>
      <c r="B141" s="1" t="n">
        <v>43901</v>
      </c>
      <c r="C141" s="1" t="n">
        <v>45821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14177-2020</t>
        </is>
      </c>
      <c r="B142" s="1" t="n">
        <v>43901</v>
      </c>
      <c r="C142" s="1" t="n">
        <v>45821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15200-2020</t>
        </is>
      </c>
      <c r="B143" s="1" t="n">
        <v>43913</v>
      </c>
      <c r="C143" s="1" t="n">
        <v>45821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17478-2020</t>
        </is>
      </c>
      <c r="B144" s="1" t="n">
        <v>43923</v>
      </c>
      <c r="C144" s="1" t="n">
        <v>45821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17477-2020</t>
        </is>
      </c>
      <c r="B145" s="1" t="n">
        <v>43923</v>
      </c>
      <c r="C145" s="1" t="n">
        <v>45821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17765-2020</t>
        </is>
      </c>
      <c r="B146" s="1" t="n">
        <v>43923</v>
      </c>
      <c r="C146" s="1" t="n">
        <v>45821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19951-2020</t>
        </is>
      </c>
      <c r="B147" s="1" t="n">
        <v>43943</v>
      </c>
      <c r="C147" s="1" t="n">
        <v>45821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20328-2020</t>
        </is>
      </c>
      <c r="B148" s="1" t="n">
        <v>43945</v>
      </c>
      <c r="C148" s="1" t="n">
        <v>45821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20880-2020</t>
        </is>
      </c>
      <c r="B149" s="1" t="n">
        <v>43945</v>
      </c>
      <c r="C149" s="1" t="n">
        <v>45821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22252-2020</t>
        </is>
      </c>
      <c r="B150" s="1" t="n">
        <v>43957</v>
      </c>
      <c r="C150" s="1" t="n">
        <v>45821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22598-2020</t>
        </is>
      </c>
      <c r="B151" s="1" t="n">
        <v>43963</v>
      </c>
      <c r="C151" s="1" t="n">
        <v>45821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22593-2020</t>
        </is>
      </c>
      <c r="B152" s="1" t="n">
        <v>43963</v>
      </c>
      <c r="C152" s="1" t="n">
        <v>45821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23732-2020</t>
        </is>
      </c>
      <c r="B153" s="1" t="n">
        <v>43970</v>
      </c>
      <c r="C153" s="1" t="n">
        <v>45821</v>
      </c>
      <c r="D153" t="inlineStr">
        <is>
          <t>JÖNKÖPINGS LÄN</t>
        </is>
      </c>
      <c r="E153" t="inlineStr">
        <is>
          <t>NÄSSJÖ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24381-2020</t>
        </is>
      </c>
      <c r="B154" s="1" t="n">
        <v>43970</v>
      </c>
      <c r="C154" s="1" t="n">
        <v>45821</v>
      </c>
      <c r="D154" t="inlineStr">
        <is>
          <t>JÖNKÖPINGS LÄN</t>
        </is>
      </c>
      <c r="E154" t="inlineStr">
        <is>
          <t>NÄSSJÖ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24174-2020</t>
        </is>
      </c>
      <c r="B155" s="1" t="n">
        <v>43975</v>
      </c>
      <c r="C155" s="1" t="n">
        <v>45821</v>
      </c>
      <c r="D155" t="inlineStr">
        <is>
          <t>JÖNKÖPINGS LÄN</t>
        </is>
      </c>
      <c r="E155" t="inlineStr">
        <is>
          <t>NÄSSJÖ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24345-2020</t>
        </is>
      </c>
      <c r="B156" s="1" t="n">
        <v>43976</v>
      </c>
      <c r="C156" s="1" t="n">
        <v>45821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24352-2020</t>
        </is>
      </c>
      <c r="B157" s="1" t="n">
        <v>43976</v>
      </c>
      <c r="C157" s="1" t="n">
        <v>45821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27158-2020</t>
        </is>
      </c>
      <c r="B158" s="1" t="n">
        <v>43991</v>
      </c>
      <c r="C158" s="1" t="n">
        <v>45821</v>
      </c>
      <c r="D158" t="inlineStr">
        <is>
          <t>JÖNKÖPINGS LÄN</t>
        </is>
      </c>
      <c r="E158" t="inlineStr">
        <is>
          <t>NÄSSJÖ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27455-2020</t>
        </is>
      </c>
      <c r="B159" s="1" t="n">
        <v>43993</v>
      </c>
      <c r="C159" s="1" t="n">
        <v>45821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28081-2020</t>
        </is>
      </c>
      <c r="B160" s="1" t="n">
        <v>43997</v>
      </c>
      <c r="C160" s="1" t="n">
        <v>45821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28128-2020</t>
        </is>
      </c>
      <c r="B161" s="1" t="n">
        <v>43997</v>
      </c>
      <c r="C161" s="1" t="n">
        <v>45821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28106-2020</t>
        </is>
      </c>
      <c r="B162" s="1" t="n">
        <v>43997</v>
      </c>
      <c r="C162" s="1" t="n">
        <v>45821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30904-2020</t>
        </is>
      </c>
      <c r="B163" s="1" t="n">
        <v>44011</v>
      </c>
      <c r="C163" s="1" t="n">
        <v>45821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30911-2020</t>
        </is>
      </c>
      <c r="B164" s="1" t="n">
        <v>44011</v>
      </c>
      <c r="C164" s="1" t="n">
        <v>45821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31395-2020</t>
        </is>
      </c>
      <c r="B165" s="1" t="n">
        <v>44013</v>
      </c>
      <c r="C165" s="1" t="n">
        <v>45821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33526-2020</t>
        </is>
      </c>
      <c r="B166" s="1" t="n">
        <v>44025</v>
      </c>
      <c r="C166" s="1" t="n">
        <v>45821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35406-2020</t>
        </is>
      </c>
      <c r="B167" s="1" t="n">
        <v>44042</v>
      </c>
      <c r="C167" s="1" t="n">
        <v>45821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35608-2020</t>
        </is>
      </c>
      <c r="B168" s="1" t="n">
        <v>44044</v>
      </c>
      <c r="C168" s="1" t="n">
        <v>45821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36031-2020</t>
        </is>
      </c>
      <c r="B169" s="1" t="n">
        <v>44047</v>
      </c>
      <c r="C169" s="1" t="n">
        <v>45821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36033-2020</t>
        </is>
      </c>
      <c r="B170" s="1" t="n">
        <v>44048</v>
      </c>
      <c r="C170" s="1" t="n">
        <v>45821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37545-2020</t>
        </is>
      </c>
      <c r="B171" s="1" t="n">
        <v>44056</v>
      </c>
      <c r="C171" s="1" t="n">
        <v>45821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37549-2020</t>
        </is>
      </c>
      <c r="B172" s="1" t="n">
        <v>44056</v>
      </c>
      <c r="C172" s="1" t="n">
        <v>45821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38486-2020</t>
        </is>
      </c>
      <c r="B173" s="1" t="n">
        <v>44060</v>
      </c>
      <c r="C173" s="1" t="n">
        <v>45821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38637-2020</t>
        </is>
      </c>
      <c r="B174" s="1" t="n">
        <v>44061</v>
      </c>
      <c r="C174" s="1" t="n">
        <v>45821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39010-2020</t>
        </is>
      </c>
      <c r="B175" s="1" t="n">
        <v>44062</v>
      </c>
      <c r="C175" s="1" t="n">
        <v>45821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39317-2020</t>
        </is>
      </c>
      <c r="B176" s="1" t="n">
        <v>44063</v>
      </c>
      <c r="C176" s="1" t="n">
        <v>45821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40099-2020</t>
        </is>
      </c>
      <c r="B177" s="1" t="n">
        <v>44064</v>
      </c>
      <c r="C177" s="1" t="n">
        <v>45821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39404-2020</t>
        </is>
      </c>
      <c r="B178" s="1" t="n">
        <v>44064</v>
      </c>
      <c r="C178" s="1" t="n">
        <v>45821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39685-2020</t>
        </is>
      </c>
      <c r="B179" s="1" t="n">
        <v>44066</v>
      </c>
      <c r="C179" s="1" t="n">
        <v>45821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39687-2020</t>
        </is>
      </c>
      <c r="B180" s="1" t="n">
        <v>44066</v>
      </c>
      <c r="C180" s="1" t="n">
        <v>45821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45821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40720-2020</t>
        </is>
      </c>
      <c r="B182" s="1" t="n">
        <v>44069</v>
      </c>
      <c r="C182" s="1" t="n">
        <v>45821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42904-2020</t>
        </is>
      </c>
      <c r="B183" s="1" t="n">
        <v>44078</v>
      </c>
      <c r="C183" s="1" t="n">
        <v>45821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44607-2020</t>
        </is>
      </c>
      <c r="B184" s="1" t="n">
        <v>44085</v>
      </c>
      <c r="C184" s="1" t="n">
        <v>45821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45554-2020</t>
        </is>
      </c>
      <c r="B185" s="1" t="n">
        <v>44089</v>
      </c>
      <c r="C185" s="1" t="n">
        <v>45821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45556-2020</t>
        </is>
      </c>
      <c r="B186" s="1" t="n">
        <v>44089</v>
      </c>
      <c r="C186" s="1" t="n">
        <v>45821</v>
      </c>
      <c r="D186" t="inlineStr">
        <is>
          <t>JÖNKÖPINGS LÄN</t>
        </is>
      </c>
      <c r="E186" t="inlineStr">
        <is>
          <t>NÄSSJÖ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46087-2020</t>
        </is>
      </c>
      <c r="B187" s="1" t="n">
        <v>44091</v>
      </c>
      <c r="C187" s="1" t="n">
        <v>45821</v>
      </c>
      <c r="D187" t="inlineStr">
        <is>
          <t>JÖNKÖPINGS LÄN</t>
        </is>
      </c>
      <c r="E187" t="inlineStr">
        <is>
          <t>NÄSSJÖ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47450-2020</t>
        </is>
      </c>
      <c r="B188" s="1" t="n">
        <v>44097</v>
      </c>
      <c r="C188" s="1" t="n">
        <v>45821</v>
      </c>
      <c r="D188" t="inlineStr">
        <is>
          <t>JÖNKÖPINGS LÄN</t>
        </is>
      </c>
      <c r="E188" t="inlineStr">
        <is>
          <t>NÄSSJÖ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47525-2020</t>
        </is>
      </c>
      <c r="B189" s="1" t="n">
        <v>44098</v>
      </c>
      <c r="C189" s="1" t="n">
        <v>45821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47922-2020</t>
        </is>
      </c>
      <c r="B190" s="1" t="n">
        <v>44099</v>
      </c>
      <c r="C190" s="1" t="n">
        <v>45821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47962-2020</t>
        </is>
      </c>
      <c r="B191" s="1" t="n">
        <v>44099</v>
      </c>
      <c r="C191" s="1" t="n">
        <v>45821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48168-2020</t>
        </is>
      </c>
      <c r="B192" s="1" t="n">
        <v>44102</v>
      </c>
      <c r="C192" s="1" t="n">
        <v>45821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48174-2020</t>
        </is>
      </c>
      <c r="B193" s="1" t="n">
        <v>44102</v>
      </c>
      <c r="C193" s="1" t="n">
        <v>45821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48920-2020</t>
        </is>
      </c>
      <c r="B194" s="1" t="n">
        <v>44102</v>
      </c>
      <c r="C194" s="1" t="n">
        <v>45821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48924-2020</t>
        </is>
      </c>
      <c r="B195" s="1" t="n">
        <v>44102</v>
      </c>
      <c r="C195" s="1" t="n">
        <v>45821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48885-2020</t>
        </is>
      </c>
      <c r="B196" s="1" t="n">
        <v>44102</v>
      </c>
      <c r="C196" s="1" t="n">
        <v>45821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48874-2020</t>
        </is>
      </c>
      <c r="B197" s="1" t="n">
        <v>44102</v>
      </c>
      <c r="C197" s="1" t="n">
        <v>45821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50388-2020</t>
        </is>
      </c>
      <c r="B198" s="1" t="n">
        <v>44105</v>
      </c>
      <c r="C198" s="1" t="n">
        <v>45821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50389-2020</t>
        </is>
      </c>
      <c r="B199" s="1" t="n">
        <v>44105</v>
      </c>
      <c r="C199" s="1" t="n">
        <v>45821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49585-2020</t>
        </is>
      </c>
      <c r="B200" s="1" t="n">
        <v>44106</v>
      </c>
      <c r="C200" s="1" t="n">
        <v>45821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51238-2020</t>
        </is>
      </c>
      <c r="B201" s="1" t="n">
        <v>44112</v>
      </c>
      <c r="C201" s="1" t="n">
        <v>45821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52449-2020</t>
        </is>
      </c>
      <c r="B202" s="1" t="n">
        <v>44116</v>
      </c>
      <c r="C202" s="1" t="n">
        <v>45821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52783-2020</t>
        </is>
      </c>
      <c r="B203" s="1" t="n">
        <v>44119</v>
      </c>
      <c r="C203" s="1" t="n">
        <v>45821</v>
      </c>
      <c r="D203" t="inlineStr">
        <is>
          <t>JÖNKÖPINGS LÄN</t>
        </is>
      </c>
      <c r="E203" t="inlineStr">
        <is>
          <t>NÄSSJÖ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53187-2020</t>
        </is>
      </c>
      <c r="B204" s="1" t="n">
        <v>44121</v>
      </c>
      <c r="C204" s="1" t="n">
        <v>45821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53451-2020</t>
        </is>
      </c>
      <c r="B205" s="1" t="n">
        <v>44123</v>
      </c>
      <c r="C205" s="1" t="n">
        <v>45821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54902-2020</t>
        </is>
      </c>
      <c r="B206" s="1" t="n">
        <v>44128</v>
      </c>
      <c r="C206" s="1" t="n">
        <v>45821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55918-2020</t>
        </is>
      </c>
      <c r="B207" s="1" t="n">
        <v>44132</v>
      </c>
      <c r="C207" s="1" t="n">
        <v>45821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57307-2020</t>
        </is>
      </c>
      <c r="B208" s="1" t="n">
        <v>44139</v>
      </c>
      <c r="C208" s="1" t="n">
        <v>45821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57933-2020</t>
        </is>
      </c>
      <c r="B209" s="1" t="n">
        <v>44141</v>
      </c>
      <c r="C209" s="1" t="n">
        <v>45821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58055-2020</t>
        </is>
      </c>
      <c r="B210" s="1" t="n">
        <v>44144</v>
      </c>
      <c r="C210" s="1" t="n">
        <v>45821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59918-2020</t>
        </is>
      </c>
      <c r="B211" s="1" t="n">
        <v>44151</v>
      </c>
      <c r="C211" s="1" t="n">
        <v>45821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60009-2020</t>
        </is>
      </c>
      <c r="B212" s="1" t="n">
        <v>44151</v>
      </c>
      <c r="C212" s="1" t="n">
        <v>45821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61678-2020</t>
        </is>
      </c>
      <c r="B213" s="1" t="n">
        <v>44155</v>
      </c>
      <c r="C213" s="1" t="n">
        <v>45821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63116-2020</t>
        </is>
      </c>
      <c r="B214" s="1" t="n">
        <v>44162</v>
      </c>
      <c r="C214" s="1" t="n">
        <v>45821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63066-2020</t>
        </is>
      </c>
      <c r="B215" s="1" t="n">
        <v>44162</v>
      </c>
      <c r="C215" s="1" t="n">
        <v>45821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63071-2020</t>
        </is>
      </c>
      <c r="B216" s="1" t="n">
        <v>44162</v>
      </c>
      <c r="C216" s="1" t="n">
        <v>45821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63130-2020</t>
        </is>
      </c>
      <c r="B217" s="1" t="n">
        <v>44162</v>
      </c>
      <c r="C217" s="1" t="n">
        <v>45821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63134-2020</t>
        </is>
      </c>
      <c r="B218" s="1" t="n">
        <v>44162</v>
      </c>
      <c r="C218" s="1" t="n">
        <v>45821</v>
      </c>
      <c r="D218" t="inlineStr">
        <is>
          <t>JÖNKÖPINGS LÄN</t>
        </is>
      </c>
      <c r="E218" t="inlineStr">
        <is>
          <t>NÄSSJÖ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65131-2020</t>
        </is>
      </c>
      <c r="B219" s="1" t="n">
        <v>44172</v>
      </c>
      <c r="C219" s="1" t="n">
        <v>45821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65611-2020</t>
        </is>
      </c>
      <c r="B220" s="1" t="n">
        <v>44173</v>
      </c>
      <c r="C220" s="1" t="n">
        <v>45821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67969-2020</t>
        </is>
      </c>
      <c r="B221" s="1" t="n">
        <v>44182</v>
      </c>
      <c r="C221" s="1" t="n">
        <v>45821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68915-2020</t>
        </is>
      </c>
      <c r="B222" s="1" t="n">
        <v>44187</v>
      </c>
      <c r="C222" s="1" t="n">
        <v>45821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80-2021</t>
        </is>
      </c>
      <c r="B223" s="1" t="n">
        <v>44200</v>
      </c>
      <c r="C223" s="1" t="n">
        <v>45821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928-2021</t>
        </is>
      </c>
      <c r="B224" s="1" t="n">
        <v>44207</v>
      </c>
      <c r="C224" s="1" t="n">
        <v>45821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2759-2021</t>
        </is>
      </c>
      <c r="B225" s="1" t="n">
        <v>44215</v>
      </c>
      <c r="C225" s="1" t="n">
        <v>45821</v>
      </c>
      <c r="D225" t="inlineStr">
        <is>
          <t>JÖNKÖPINGS LÄN</t>
        </is>
      </c>
      <c r="E225" t="inlineStr">
        <is>
          <t>NÄSSJÖ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4186-2021</t>
        </is>
      </c>
      <c r="B226" s="1" t="n">
        <v>44221</v>
      </c>
      <c r="C226" s="1" t="n">
        <v>45821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5514-2021</t>
        </is>
      </c>
      <c r="B227" s="1" t="n">
        <v>44228</v>
      </c>
      <c r="C227" s="1" t="n">
        <v>45821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5445-2021</t>
        </is>
      </c>
      <c r="B228" s="1" t="n">
        <v>44229</v>
      </c>
      <c r="C228" s="1" t="n">
        <v>45821</v>
      </c>
      <c r="D228" t="inlineStr">
        <is>
          <t>JÖNKÖPINGS LÄN</t>
        </is>
      </c>
      <c r="E228" t="inlineStr">
        <is>
          <t>NÄSSJÖ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5807-2021</t>
        </is>
      </c>
      <c r="B229" s="1" t="n">
        <v>44231</v>
      </c>
      <c r="C229" s="1" t="n">
        <v>45821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6189-2021</t>
        </is>
      </c>
      <c r="B230" s="1" t="n">
        <v>44234</v>
      </c>
      <c r="C230" s="1" t="n">
        <v>45821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6458-2021</t>
        </is>
      </c>
      <c r="B231" s="1" t="n">
        <v>44235</v>
      </c>
      <c r="C231" s="1" t="n">
        <v>45821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7510-2021</t>
        </is>
      </c>
      <c r="B232" s="1" t="n">
        <v>44239</v>
      </c>
      <c r="C232" s="1" t="n">
        <v>45821</v>
      </c>
      <c r="D232" t="inlineStr">
        <is>
          <t>JÖNKÖPINGS LÄN</t>
        </is>
      </c>
      <c r="E232" t="inlineStr">
        <is>
          <t>NÄSSJÖ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7514-2021</t>
        </is>
      </c>
      <c r="B233" s="1" t="n">
        <v>44239</v>
      </c>
      <c r="C233" s="1" t="n">
        <v>45821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8766-2021</t>
        </is>
      </c>
      <c r="B234" s="1" t="n">
        <v>44245</v>
      </c>
      <c r="C234" s="1" t="n">
        <v>45821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8838-2021</t>
        </is>
      </c>
      <c r="B235" s="1" t="n">
        <v>44246</v>
      </c>
      <c r="C235" s="1" t="n">
        <v>45821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8656-2021</t>
        </is>
      </c>
      <c r="B236" s="1" t="n">
        <v>44246</v>
      </c>
      <c r="C236" s="1" t="n">
        <v>45821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8669-2021</t>
        </is>
      </c>
      <c r="B237" s="1" t="n">
        <v>44246</v>
      </c>
      <c r="C237" s="1" t="n">
        <v>45821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10978-2021</t>
        </is>
      </c>
      <c r="B238" s="1" t="n">
        <v>44260</v>
      </c>
      <c r="C238" s="1" t="n">
        <v>45821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11554-2021</t>
        </is>
      </c>
      <c r="B239" s="1" t="n">
        <v>44264</v>
      </c>
      <c r="C239" s="1" t="n">
        <v>45821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11556-2021</t>
        </is>
      </c>
      <c r="B240" s="1" t="n">
        <v>44264</v>
      </c>
      <c r="C240" s="1" t="n">
        <v>45821</v>
      </c>
      <c r="D240" t="inlineStr">
        <is>
          <t>JÖNKÖPINGS LÄN</t>
        </is>
      </c>
      <c r="E240" t="inlineStr">
        <is>
          <t>NÄSSJÖ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11686-2021</t>
        </is>
      </c>
      <c r="B241" s="1" t="n">
        <v>44264</v>
      </c>
      <c r="C241" s="1" t="n">
        <v>45821</v>
      </c>
      <c r="D241" t="inlineStr">
        <is>
          <t>JÖNKÖPINGS LÄN</t>
        </is>
      </c>
      <c r="E241" t="inlineStr">
        <is>
          <t>NÄSSJÖ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11727-2021</t>
        </is>
      </c>
      <c r="B242" s="1" t="n">
        <v>44265</v>
      </c>
      <c r="C242" s="1" t="n">
        <v>45821</v>
      </c>
      <c r="D242" t="inlineStr">
        <is>
          <t>JÖNKÖPINGS LÄN</t>
        </is>
      </c>
      <c r="E242" t="inlineStr">
        <is>
          <t>NÄSSJÖ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13781-2021</t>
        </is>
      </c>
      <c r="B243" s="1" t="n">
        <v>44274</v>
      </c>
      <c r="C243" s="1" t="n">
        <v>45821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13923-2021</t>
        </is>
      </c>
      <c r="B244" s="1" t="n">
        <v>44277</v>
      </c>
      <c r="C244" s="1" t="n">
        <v>45821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14610-2021</t>
        </is>
      </c>
      <c r="B245" s="1" t="n">
        <v>44280</v>
      </c>
      <c r="C245" s="1" t="n">
        <v>45821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16881-2021</t>
        </is>
      </c>
      <c r="B246" s="1" t="n">
        <v>44294</v>
      </c>
      <c r="C246" s="1" t="n">
        <v>45821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17284-2021</t>
        </is>
      </c>
      <c r="B247" s="1" t="n">
        <v>44298</v>
      </c>
      <c r="C247" s="1" t="n">
        <v>45821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45821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17409-2021</t>
        </is>
      </c>
      <c r="B249" s="1" t="n">
        <v>44299</v>
      </c>
      <c r="C249" s="1" t="n">
        <v>45821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17837-2021</t>
        </is>
      </c>
      <c r="B250" s="1" t="n">
        <v>44300</v>
      </c>
      <c r="C250" s="1" t="n">
        <v>45821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20007-2021</t>
        </is>
      </c>
      <c r="B251" s="1" t="n">
        <v>44313</v>
      </c>
      <c r="C251" s="1" t="n">
        <v>45821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20280-2021</t>
        </is>
      </c>
      <c r="B252" s="1" t="n">
        <v>44314</v>
      </c>
      <c r="C252" s="1" t="n">
        <v>45821</v>
      </c>
      <c r="D252" t="inlineStr">
        <is>
          <t>JÖNKÖPINGS LÄN</t>
        </is>
      </c>
      <c r="E252" t="inlineStr">
        <is>
          <t>NÄSSJÖ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20386-2021</t>
        </is>
      </c>
      <c r="B253" s="1" t="n">
        <v>44315</v>
      </c>
      <c r="C253" s="1" t="n">
        <v>45821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45821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23147-2021</t>
        </is>
      </c>
      <c r="B255" s="1" t="n">
        <v>44331</v>
      </c>
      <c r="C255" s="1" t="n">
        <v>45821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24387-2021</t>
        </is>
      </c>
      <c r="B256" s="1" t="n">
        <v>44337</v>
      </c>
      <c r="C256" s="1" t="n">
        <v>45821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25054-2021</t>
        </is>
      </c>
      <c r="B257" s="1" t="n">
        <v>44341</v>
      </c>
      <c r="C257" s="1" t="n">
        <v>45821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25294-2021</t>
        </is>
      </c>
      <c r="B258" s="1" t="n">
        <v>44342</v>
      </c>
      <c r="C258" s="1" t="n">
        <v>45821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26024-2021</t>
        </is>
      </c>
      <c r="B259" s="1" t="n">
        <v>44344</v>
      </c>
      <c r="C259" s="1" t="n">
        <v>45821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26015-2021</t>
        </is>
      </c>
      <c r="B260" s="1" t="n">
        <v>44344</v>
      </c>
      <c r="C260" s="1" t="n">
        <v>45821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26452-2021</t>
        </is>
      </c>
      <c r="B261" s="1" t="n">
        <v>44348</v>
      </c>
      <c r="C261" s="1" t="n">
        <v>45821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</v>
      </c>
      <c r="C262" s="1" t="n">
        <v>45821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28579-2021</t>
        </is>
      </c>
      <c r="B263" s="1" t="n">
        <v>44356</v>
      </c>
      <c r="C263" s="1" t="n">
        <v>45821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28585-2021</t>
        </is>
      </c>
      <c r="B264" s="1" t="n">
        <v>44356</v>
      </c>
      <c r="C264" s="1" t="n">
        <v>45821</v>
      </c>
      <c r="D264" t="inlineStr">
        <is>
          <t>JÖNKÖPINGS LÄN</t>
        </is>
      </c>
      <c r="E264" t="inlineStr">
        <is>
          <t>NÄSSJÖ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28583-2021</t>
        </is>
      </c>
      <c r="B265" s="1" t="n">
        <v>44356</v>
      </c>
      <c r="C265" s="1" t="n">
        <v>45821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28580-2021</t>
        </is>
      </c>
      <c r="B266" s="1" t="n">
        <v>44356</v>
      </c>
      <c r="C266" s="1" t="n">
        <v>45821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28582-2021</t>
        </is>
      </c>
      <c r="B267" s="1" t="n">
        <v>44356</v>
      </c>
      <c r="C267" s="1" t="n">
        <v>45821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28972-2021</t>
        </is>
      </c>
      <c r="B268" s="1" t="n">
        <v>44358</v>
      </c>
      <c r="C268" s="1" t="n">
        <v>45821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29544-2021</t>
        </is>
      </c>
      <c r="B269" s="1" t="n">
        <v>44361</v>
      </c>
      <c r="C269" s="1" t="n">
        <v>45821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30287-2021</t>
        </is>
      </c>
      <c r="B270" s="1" t="n">
        <v>44364</v>
      </c>
      <c r="C270" s="1" t="n">
        <v>45821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31586-2021</t>
        </is>
      </c>
      <c r="B271" s="1" t="n">
        <v>44369</v>
      </c>
      <c r="C271" s="1" t="n">
        <v>45821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32060-2021</t>
        </is>
      </c>
      <c r="B272" s="1" t="n">
        <v>44370</v>
      </c>
      <c r="C272" s="1" t="n">
        <v>45821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32242-2021</t>
        </is>
      </c>
      <c r="B273" s="1" t="n">
        <v>44371</v>
      </c>
      <c r="C273" s="1" t="n">
        <v>45821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32683-2021</t>
        </is>
      </c>
      <c r="B274" s="1" t="n">
        <v>44375</v>
      </c>
      <c r="C274" s="1" t="n">
        <v>45821</v>
      </c>
      <c r="D274" t="inlineStr">
        <is>
          <t>JÖNKÖPINGS LÄN</t>
        </is>
      </c>
      <c r="E274" t="inlineStr">
        <is>
          <t>NÄSSJÖ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33761-2021</t>
        </is>
      </c>
      <c r="B275" s="1" t="n">
        <v>44378</v>
      </c>
      <c r="C275" s="1" t="n">
        <v>45821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34005-2021</t>
        </is>
      </c>
      <c r="B276" s="1" t="n">
        <v>44379</v>
      </c>
      <c r="C276" s="1" t="n">
        <v>45821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34374-2021</t>
        </is>
      </c>
      <c r="B277" s="1" t="n">
        <v>44379</v>
      </c>
      <c r="C277" s="1" t="n">
        <v>45821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34418-2021</t>
        </is>
      </c>
      <c r="B278" s="1" t="n">
        <v>44380</v>
      </c>
      <c r="C278" s="1" t="n">
        <v>45821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34415-2021</t>
        </is>
      </c>
      <c r="B279" s="1" t="n">
        <v>44380</v>
      </c>
      <c r="C279" s="1" t="n">
        <v>45821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34416-2021</t>
        </is>
      </c>
      <c r="B280" s="1" t="n">
        <v>44380</v>
      </c>
      <c r="C280" s="1" t="n">
        <v>45821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34683-2021</t>
        </is>
      </c>
      <c r="B281" s="1" t="n">
        <v>44382</v>
      </c>
      <c r="C281" s="1" t="n">
        <v>45821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35030-2021</t>
        </is>
      </c>
      <c r="B282" s="1" t="n">
        <v>44383</v>
      </c>
      <c r="C282" s="1" t="n">
        <v>45821</v>
      </c>
      <c r="D282" t="inlineStr">
        <is>
          <t>JÖNKÖPINGS LÄN</t>
        </is>
      </c>
      <c r="E282" t="inlineStr">
        <is>
          <t>NÄSSJÖ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35083-2021</t>
        </is>
      </c>
      <c r="B283" s="1" t="n">
        <v>44383</v>
      </c>
      <c r="C283" s="1" t="n">
        <v>45821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35820-2021</t>
        </is>
      </c>
      <c r="B284" s="1" t="n">
        <v>44386</v>
      </c>
      <c r="C284" s="1" t="n">
        <v>45821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35880-2021</t>
        </is>
      </c>
      <c r="B285" s="1" t="n">
        <v>44387</v>
      </c>
      <c r="C285" s="1" t="n">
        <v>45821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36344-2021</t>
        </is>
      </c>
      <c r="B286" s="1" t="n">
        <v>44389</v>
      </c>
      <c r="C286" s="1" t="n">
        <v>45821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36408-2021</t>
        </is>
      </c>
      <c r="B287" s="1" t="n">
        <v>44390</v>
      </c>
      <c r="C287" s="1" t="n">
        <v>45821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36414-2021</t>
        </is>
      </c>
      <c r="B288" s="1" t="n">
        <v>44390</v>
      </c>
      <c r="C288" s="1" t="n">
        <v>45821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36587-2021</t>
        </is>
      </c>
      <c r="B289" s="1" t="n">
        <v>44391</v>
      </c>
      <c r="C289" s="1" t="n">
        <v>45821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38533-2021</t>
        </is>
      </c>
      <c r="B290" s="1" t="n">
        <v>44407</v>
      </c>
      <c r="C290" s="1" t="n">
        <v>45821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38793-2021</t>
        </is>
      </c>
      <c r="B291" s="1" t="n">
        <v>44410</v>
      </c>
      <c r="C291" s="1" t="n">
        <v>45821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40144-2021</t>
        </is>
      </c>
      <c r="B292" s="1" t="n">
        <v>44418</v>
      </c>
      <c r="C292" s="1" t="n">
        <v>45821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40070-2021</t>
        </is>
      </c>
      <c r="B293" s="1" t="n">
        <v>44418</v>
      </c>
      <c r="C293" s="1" t="n">
        <v>45821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40131-2021</t>
        </is>
      </c>
      <c r="B294" s="1" t="n">
        <v>44418</v>
      </c>
      <c r="C294" s="1" t="n">
        <v>45821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40166-2021</t>
        </is>
      </c>
      <c r="B295" s="1" t="n">
        <v>44418</v>
      </c>
      <c r="C295" s="1" t="n">
        <v>45821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40959-2021</t>
        </is>
      </c>
      <c r="B296" s="1" t="n">
        <v>44421</v>
      </c>
      <c r="C296" s="1" t="n">
        <v>45821</v>
      </c>
      <c r="D296" t="inlineStr">
        <is>
          <t>JÖNKÖPINGS LÄN</t>
        </is>
      </c>
      <c r="E296" t="inlineStr">
        <is>
          <t>NÄSSJÖ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40951-2021</t>
        </is>
      </c>
      <c r="B297" s="1" t="n">
        <v>44421</v>
      </c>
      <c r="C297" s="1" t="n">
        <v>45821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41195-2021</t>
        </is>
      </c>
      <c r="B298" s="1" t="n">
        <v>44424</v>
      </c>
      <c r="C298" s="1" t="n">
        <v>45821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42206-2021</t>
        </is>
      </c>
      <c r="B299" s="1" t="n">
        <v>44426</v>
      </c>
      <c r="C299" s="1" t="n">
        <v>45821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42450-2021</t>
        </is>
      </c>
      <c r="B300" s="1" t="n">
        <v>44427</v>
      </c>
      <c r="C300" s="1" t="n">
        <v>45821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42453-2021</t>
        </is>
      </c>
      <c r="B301" s="1" t="n">
        <v>44427</v>
      </c>
      <c r="C301" s="1" t="n">
        <v>45821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42631-2021</t>
        </is>
      </c>
      <c r="B302" s="1" t="n">
        <v>44428</v>
      </c>
      <c r="C302" s="1" t="n">
        <v>45821</v>
      </c>
      <c r="D302" t="inlineStr">
        <is>
          <t>JÖNKÖPINGS LÄN</t>
        </is>
      </c>
      <c r="E302" t="inlineStr">
        <is>
          <t>NÄSSJÖ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42623-2021</t>
        </is>
      </c>
      <c r="B303" s="1" t="n">
        <v>44428</v>
      </c>
      <c r="C303" s="1" t="n">
        <v>45821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43239-2021</t>
        </is>
      </c>
      <c r="B304" s="1" t="n">
        <v>44432</v>
      </c>
      <c r="C304" s="1" t="n">
        <v>45821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43371-2021</t>
        </is>
      </c>
      <c r="B305" s="1" t="n">
        <v>44432</v>
      </c>
      <c r="C305" s="1" t="n">
        <v>45821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46061-2021</t>
        </is>
      </c>
      <c r="B306" s="1" t="n">
        <v>44442</v>
      </c>
      <c r="C306" s="1" t="n">
        <v>45821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46748-2021</t>
        </is>
      </c>
      <c r="B307" s="1" t="n">
        <v>44445</v>
      </c>
      <c r="C307" s="1" t="n">
        <v>45821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47438-2021</t>
        </is>
      </c>
      <c r="B308" s="1" t="n">
        <v>44447</v>
      </c>
      <c r="C308" s="1" t="n">
        <v>45821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47499-2021</t>
        </is>
      </c>
      <c r="B309" s="1" t="n">
        <v>44447</v>
      </c>
      <c r="C309" s="1" t="n">
        <v>45821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48392-2021</t>
        </is>
      </c>
      <c r="B310" s="1" t="n">
        <v>44452</v>
      </c>
      <c r="C310" s="1" t="n">
        <v>45821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48958-2021</t>
        </is>
      </c>
      <c r="B311" s="1" t="n">
        <v>44453</v>
      </c>
      <c r="C311" s="1" t="n">
        <v>45821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49376-2021</t>
        </is>
      </c>
      <c r="B312" s="1" t="n">
        <v>44454</v>
      </c>
      <c r="C312" s="1" t="n">
        <v>45821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</v>
      </c>
      <c r="C313" s="1" t="n">
        <v>45821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49709-2021</t>
        </is>
      </c>
      <c r="B314" s="1" t="n">
        <v>44455</v>
      </c>
      <c r="C314" s="1" t="n">
        <v>45821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50471-2021</t>
        </is>
      </c>
      <c r="B315" s="1" t="n">
        <v>44456</v>
      </c>
      <c r="C315" s="1" t="n">
        <v>45821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50477-2021</t>
        </is>
      </c>
      <c r="B316" s="1" t="n">
        <v>44459</v>
      </c>
      <c r="C316" s="1" t="n">
        <v>45821</v>
      </c>
      <c r="D316" t="inlineStr">
        <is>
          <t>JÖNKÖPINGS LÄN</t>
        </is>
      </c>
      <c r="E316" t="inlineStr">
        <is>
          <t>NÄSSJÖ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50850-2021</t>
        </is>
      </c>
      <c r="B317" s="1" t="n">
        <v>44459</v>
      </c>
      <c r="C317" s="1" t="n">
        <v>45821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50856-2021</t>
        </is>
      </c>
      <c r="B318" s="1" t="n">
        <v>44459</v>
      </c>
      <c r="C318" s="1" t="n">
        <v>45821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50872-2021</t>
        </is>
      </c>
      <c r="B319" s="1" t="n">
        <v>44459</v>
      </c>
      <c r="C319" s="1" t="n">
        <v>45821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50972-2021</t>
        </is>
      </c>
      <c r="B320" s="1" t="n">
        <v>44459</v>
      </c>
      <c r="C320" s="1" t="n">
        <v>45821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50862-2021</t>
        </is>
      </c>
      <c r="B321" s="1" t="n">
        <v>44459</v>
      </c>
      <c r="C321" s="1" t="n">
        <v>45821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50970-2021</t>
        </is>
      </c>
      <c r="B322" s="1" t="n">
        <v>44459</v>
      </c>
      <c r="C322" s="1" t="n">
        <v>45821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50718-2021</t>
        </is>
      </c>
      <c r="B323" s="1" t="n">
        <v>44460</v>
      </c>
      <c r="C323" s="1" t="n">
        <v>45821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50836-2021</t>
        </is>
      </c>
      <c r="B324" s="1" t="n">
        <v>44460</v>
      </c>
      <c r="C324" s="1" t="n">
        <v>45821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51478-2021</t>
        </is>
      </c>
      <c r="B325" s="1" t="n">
        <v>44460</v>
      </c>
      <c r="C325" s="1" t="n">
        <v>45821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51629-2021</t>
        </is>
      </c>
      <c r="B326" s="1" t="n">
        <v>44462</v>
      </c>
      <c r="C326" s="1" t="n">
        <v>45821</v>
      </c>
      <c r="D326" t="inlineStr">
        <is>
          <t>JÖNKÖPINGS LÄN</t>
        </is>
      </c>
      <c r="E326" t="inlineStr">
        <is>
          <t>NÄSSJÖ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52015-2021</t>
        </is>
      </c>
      <c r="B327" s="1" t="n">
        <v>44463</v>
      </c>
      <c r="C327" s="1" t="n">
        <v>45821</v>
      </c>
      <c r="D327" t="inlineStr">
        <is>
          <t>JÖNKÖPINGS LÄN</t>
        </is>
      </c>
      <c r="E327" t="inlineStr">
        <is>
          <t>NÄSSJÖ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52028-2021</t>
        </is>
      </c>
      <c r="B328" s="1" t="n">
        <v>44463</v>
      </c>
      <c r="C328" s="1" t="n">
        <v>45821</v>
      </c>
      <c r="D328" t="inlineStr">
        <is>
          <t>JÖNKÖPINGS LÄN</t>
        </is>
      </c>
      <c r="E328" t="inlineStr">
        <is>
          <t>NÄSSJÖ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52236-2021</t>
        </is>
      </c>
      <c r="B329" s="1" t="n">
        <v>44463</v>
      </c>
      <c r="C329" s="1" t="n">
        <v>45821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52238-2021</t>
        </is>
      </c>
      <c r="B330" s="1" t="n">
        <v>44463</v>
      </c>
      <c r="C330" s="1" t="n">
        <v>45821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52523-2021</t>
        </is>
      </c>
      <c r="B331" s="1" t="n">
        <v>44466</v>
      </c>
      <c r="C331" s="1" t="n">
        <v>45821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52581-2021</t>
        </is>
      </c>
      <c r="B332" s="1" t="n">
        <v>44466</v>
      </c>
      <c r="C332" s="1" t="n">
        <v>45821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53967-2021</t>
        </is>
      </c>
      <c r="B333" s="1" t="n">
        <v>44469</v>
      </c>
      <c r="C333" s="1" t="n">
        <v>45821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54303-2021</t>
        </is>
      </c>
      <c r="B334" s="1" t="n">
        <v>44472</v>
      </c>
      <c r="C334" s="1" t="n">
        <v>45821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54825-2021</t>
        </is>
      </c>
      <c r="B335" s="1" t="n">
        <v>44474</v>
      </c>
      <c r="C335" s="1" t="n">
        <v>45821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56178-2021</t>
        </is>
      </c>
      <c r="B336" s="1" t="n">
        <v>44477</v>
      </c>
      <c r="C336" s="1" t="n">
        <v>45821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56921-2021</t>
        </is>
      </c>
      <c r="B337" s="1" t="n">
        <v>44481</v>
      </c>
      <c r="C337" s="1" t="n">
        <v>45821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57164-2021</t>
        </is>
      </c>
      <c r="B338" s="1" t="n">
        <v>44482</v>
      </c>
      <c r="C338" s="1" t="n">
        <v>45821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57165-2021</t>
        </is>
      </c>
      <c r="B339" s="1" t="n">
        <v>44482</v>
      </c>
      <c r="C339" s="1" t="n">
        <v>45821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57614-2021</t>
        </is>
      </c>
      <c r="B340" s="1" t="n">
        <v>44483</v>
      </c>
      <c r="C340" s="1" t="n">
        <v>45821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57678-2021</t>
        </is>
      </c>
      <c r="B341" s="1" t="n">
        <v>44484</v>
      </c>
      <c r="C341" s="1" t="n">
        <v>45821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57673-2021</t>
        </is>
      </c>
      <c r="B342" s="1" t="n">
        <v>44484</v>
      </c>
      <c r="C342" s="1" t="n">
        <v>45821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45821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57931-2021</t>
        </is>
      </c>
      <c r="B344" s="1" t="n">
        <v>44487</v>
      </c>
      <c r="C344" s="1" t="n">
        <v>45821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59251-2021</t>
        </is>
      </c>
      <c r="B345" s="1" t="n">
        <v>44490</v>
      </c>
      <c r="C345" s="1" t="n">
        <v>45821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61193-2021</t>
        </is>
      </c>
      <c r="B346" s="1" t="n">
        <v>44498</v>
      </c>
      <c r="C346" s="1" t="n">
        <v>45821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62168-2021</t>
        </is>
      </c>
      <c r="B347" s="1" t="n">
        <v>44502</v>
      </c>
      <c r="C347" s="1" t="n">
        <v>45821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62637-2021</t>
        </is>
      </c>
      <c r="B348" s="1" t="n">
        <v>44503</v>
      </c>
      <c r="C348" s="1" t="n">
        <v>45821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63577-2021</t>
        </is>
      </c>
      <c r="B349" s="1" t="n">
        <v>44508</v>
      </c>
      <c r="C349" s="1" t="n">
        <v>45821</v>
      </c>
      <c r="D349" t="inlineStr">
        <is>
          <t>JÖNKÖPINGS LÄN</t>
        </is>
      </c>
      <c r="E349" t="inlineStr">
        <is>
          <t>NÄSSJÖ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64608-2021</t>
        </is>
      </c>
      <c r="B350" s="1" t="n">
        <v>44511</v>
      </c>
      <c r="C350" s="1" t="n">
        <v>45821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66505-2021</t>
        </is>
      </c>
      <c r="B351" s="1" t="n">
        <v>44519</v>
      </c>
      <c r="C351" s="1" t="n">
        <v>45821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67411-2021</t>
        </is>
      </c>
      <c r="B352" s="1" t="n">
        <v>44524</v>
      </c>
      <c r="C352" s="1" t="n">
        <v>45821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67599-2021</t>
        </is>
      </c>
      <c r="B353" s="1" t="n">
        <v>44524</v>
      </c>
      <c r="C353" s="1" t="n">
        <v>45821</v>
      </c>
      <c r="D353" t="inlineStr">
        <is>
          <t>JÖNKÖPINGS LÄN</t>
        </is>
      </c>
      <c r="E353" t="inlineStr">
        <is>
          <t>NÄSSJÖ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68668-2021</t>
        </is>
      </c>
      <c r="B354" s="1" t="n">
        <v>44529</v>
      </c>
      <c r="C354" s="1" t="n">
        <v>45821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70846-2021</t>
        </is>
      </c>
      <c r="B355" s="1" t="n">
        <v>44538</v>
      </c>
      <c r="C355" s="1" t="n">
        <v>45821</v>
      </c>
      <c r="D355" t="inlineStr">
        <is>
          <t>JÖNKÖPINGS LÄN</t>
        </is>
      </c>
      <c r="E355" t="inlineStr">
        <is>
          <t>NÄSSJÖ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71609-2021</t>
        </is>
      </c>
      <c r="B356" s="1" t="n">
        <v>44541</v>
      </c>
      <c r="C356" s="1" t="n">
        <v>45821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71606-2021</t>
        </is>
      </c>
      <c r="B357" s="1" t="n">
        <v>44541</v>
      </c>
      <c r="C357" s="1" t="n">
        <v>45821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72737-2021</t>
        </is>
      </c>
      <c r="B358" s="1" t="n">
        <v>44546</v>
      </c>
      <c r="C358" s="1" t="n">
        <v>45821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73954-2021</t>
        </is>
      </c>
      <c r="B359" s="1" t="n">
        <v>44553</v>
      </c>
      <c r="C359" s="1" t="n">
        <v>45821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215-2022</t>
        </is>
      </c>
      <c r="B360" s="1" t="n">
        <v>44564</v>
      </c>
      <c r="C360" s="1" t="n">
        <v>45821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625-2022</t>
        </is>
      </c>
      <c r="B361" s="1" t="n">
        <v>44568</v>
      </c>
      <c r="C361" s="1" t="n">
        <v>45821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1485-2022</t>
        </is>
      </c>
      <c r="B362" s="1" t="n">
        <v>44573</v>
      </c>
      <c r="C362" s="1" t="n">
        <v>45821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2369-2022</t>
        </is>
      </c>
      <c r="B363" s="1" t="n">
        <v>44579</v>
      </c>
      <c r="C363" s="1" t="n">
        <v>45821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2530-2022</t>
        </is>
      </c>
      <c r="B364" s="1" t="n">
        <v>44579</v>
      </c>
      <c r="C364" s="1" t="n">
        <v>45821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2532-2022</t>
        </is>
      </c>
      <c r="B365" s="1" t="n">
        <v>44579</v>
      </c>
      <c r="C365" s="1" t="n">
        <v>45821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3399-2022</t>
        </is>
      </c>
      <c r="B366" s="1" t="n">
        <v>44585</v>
      </c>
      <c r="C366" s="1" t="n">
        <v>45821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3626-2022</t>
        </is>
      </c>
      <c r="B367" s="1" t="n">
        <v>44586</v>
      </c>
      <c r="C367" s="1" t="n">
        <v>45821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3693-2022</t>
        </is>
      </c>
      <c r="B368" s="1" t="n">
        <v>44586</v>
      </c>
      <c r="C368" s="1" t="n">
        <v>45821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3892-2022</t>
        </is>
      </c>
      <c r="B369" s="1" t="n">
        <v>44587</v>
      </c>
      <c r="C369" s="1" t="n">
        <v>45821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4167-2022</t>
        </is>
      </c>
      <c r="B370" s="1" t="n">
        <v>44588</v>
      </c>
      <c r="C370" s="1" t="n">
        <v>45821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5142-2022</t>
        </is>
      </c>
      <c r="B371" s="1" t="n">
        <v>44594</v>
      </c>
      <c r="C371" s="1" t="n">
        <v>45821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5230-2022</t>
        </is>
      </c>
      <c r="B372" s="1" t="n">
        <v>44594</v>
      </c>
      <c r="C372" s="1" t="n">
        <v>45821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6422-2022</t>
        </is>
      </c>
      <c r="B373" s="1" t="n">
        <v>44600</v>
      </c>
      <c r="C373" s="1" t="n">
        <v>45821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7141-2022</t>
        </is>
      </c>
      <c r="B374" s="1" t="n">
        <v>44603</v>
      </c>
      <c r="C374" s="1" t="n">
        <v>45821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7140-2022</t>
        </is>
      </c>
      <c r="B375" s="1" t="n">
        <v>44603</v>
      </c>
      <c r="C375" s="1" t="n">
        <v>45821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</v>
      </c>
      <c r="C376" s="1" t="n">
        <v>45821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7736-2022</t>
        </is>
      </c>
      <c r="B377" s="1" t="n">
        <v>44608</v>
      </c>
      <c r="C377" s="1" t="n">
        <v>45821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8212-2022</t>
        </is>
      </c>
      <c r="B378" s="1" t="n">
        <v>44609</v>
      </c>
      <c r="C378" s="1" t="n">
        <v>45821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8540-2022</t>
        </is>
      </c>
      <c r="B379" s="1" t="n">
        <v>44613</v>
      </c>
      <c r="C379" s="1" t="n">
        <v>45821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8520-2022</t>
        </is>
      </c>
      <c r="B380" s="1" t="n">
        <v>44613</v>
      </c>
      <c r="C380" s="1" t="n">
        <v>45821</v>
      </c>
      <c r="D380" t="inlineStr">
        <is>
          <t>JÖNKÖPINGS LÄN</t>
        </is>
      </c>
      <c r="E380" t="inlineStr">
        <is>
          <t>NÄSSJÖ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9693-2022</t>
        </is>
      </c>
      <c r="B381" s="1" t="n">
        <v>44617</v>
      </c>
      <c r="C381" s="1" t="n">
        <v>45821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11851-2022</t>
        </is>
      </c>
      <c r="B382" s="1" t="n">
        <v>44635</v>
      </c>
      <c r="C382" s="1" t="n">
        <v>45821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13121-2022</t>
        </is>
      </c>
      <c r="B383" s="1" t="n">
        <v>44644</v>
      </c>
      <c r="C383" s="1" t="n">
        <v>45821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14037-2022</t>
        </is>
      </c>
      <c r="B384" s="1" t="n">
        <v>44650</v>
      </c>
      <c r="C384" s="1" t="n">
        <v>45821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15324-2022</t>
        </is>
      </c>
      <c r="B385" s="1" t="n">
        <v>44659</v>
      </c>
      <c r="C385" s="1" t="n">
        <v>45821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45821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15410-2022</t>
        </is>
      </c>
      <c r="B387" s="1" t="n">
        <v>44659</v>
      </c>
      <c r="C387" s="1" t="n">
        <v>45821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15338-2022</t>
        </is>
      </c>
      <c r="B388" s="1" t="n">
        <v>44659</v>
      </c>
      <c r="C388" s="1" t="n">
        <v>45821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15414-2022</t>
        </is>
      </c>
      <c r="B389" s="1" t="n">
        <v>44659</v>
      </c>
      <c r="C389" s="1" t="n">
        <v>45821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15819-2022</t>
        </is>
      </c>
      <c r="B390" s="1" t="n">
        <v>44664</v>
      </c>
      <c r="C390" s="1" t="n">
        <v>45821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15862-2022</t>
        </is>
      </c>
      <c r="B391" s="1" t="n">
        <v>44664</v>
      </c>
      <c r="C391" s="1" t="n">
        <v>45821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15993-2022</t>
        </is>
      </c>
      <c r="B392" s="1" t="n">
        <v>44665</v>
      </c>
      <c r="C392" s="1" t="n">
        <v>45821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16314-2022</t>
        </is>
      </c>
      <c r="B393" s="1" t="n">
        <v>44670</v>
      </c>
      <c r="C393" s="1" t="n">
        <v>45821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17369-2022</t>
        </is>
      </c>
      <c r="B394" s="1" t="n">
        <v>44678</v>
      </c>
      <c r="C394" s="1" t="n">
        <v>45821</v>
      </c>
      <c r="D394" t="inlineStr">
        <is>
          <t>JÖNKÖPINGS LÄN</t>
        </is>
      </c>
      <c r="E394" t="inlineStr">
        <is>
          <t>NÄSSJÖ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18339-2022</t>
        </is>
      </c>
      <c r="B395" s="1" t="n">
        <v>44685</v>
      </c>
      <c r="C395" s="1" t="n">
        <v>45821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18335-2022</t>
        </is>
      </c>
      <c r="B396" s="1" t="n">
        <v>44685</v>
      </c>
      <c r="C396" s="1" t="n">
        <v>45821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19077-2022</t>
        </is>
      </c>
      <c r="B397" s="1" t="n">
        <v>44691</v>
      </c>
      <c r="C397" s="1" t="n">
        <v>45821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19248-2022</t>
        </is>
      </c>
      <c r="B398" s="1" t="n">
        <v>44692</v>
      </c>
      <c r="C398" s="1" t="n">
        <v>45821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</v>
      </c>
      <c r="C399" s="1" t="n">
        <v>45821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20735-2022</t>
        </is>
      </c>
      <c r="B400" s="1" t="n">
        <v>44701</v>
      </c>
      <c r="C400" s="1" t="n">
        <v>45821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20736-2022</t>
        </is>
      </c>
      <c r="B401" s="1" t="n">
        <v>44701</v>
      </c>
      <c r="C401" s="1" t="n">
        <v>45821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20945-2022</t>
        </is>
      </c>
      <c r="B402" s="1" t="n">
        <v>44701</v>
      </c>
      <c r="C402" s="1" t="n">
        <v>45821</v>
      </c>
      <c r="D402" t="inlineStr">
        <is>
          <t>JÖNKÖPINGS LÄN</t>
        </is>
      </c>
      <c r="E402" t="inlineStr">
        <is>
          <t>NÄSSJÖ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23549-2022</t>
        </is>
      </c>
      <c r="B403" s="1" t="n">
        <v>44721</v>
      </c>
      <c r="C403" s="1" t="n">
        <v>45821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24641-2022</t>
        </is>
      </c>
      <c r="B404" s="1" t="n">
        <v>44727</v>
      </c>
      <c r="C404" s="1" t="n">
        <v>45821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26452-2022</t>
        </is>
      </c>
      <c r="B405" s="1" t="n">
        <v>44739</v>
      </c>
      <c r="C405" s="1" t="n">
        <v>45821</v>
      </c>
      <c r="D405" t="inlineStr">
        <is>
          <t>JÖNKÖPINGS LÄN</t>
        </is>
      </c>
      <c r="E405" t="inlineStr">
        <is>
          <t>NÄSSJÖ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28462-2022</t>
        </is>
      </c>
      <c r="B406" s="1" t="n">
        <v>44747</v>
      </c>
      <c r="C406" s="1" t="n">
        <v>45821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29183-2022</t>
        </is>
      </c>
      <c r="B407" s="1" t="n">
        <v>44750</v>
      </c>
      <c r="C407" s="1" t="n">
        <v>45821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31679-2022</t>
        </is>
      </c>
      <c r="B408" s="1" t="n">
        <v>44776</v>
      </c>
      <c r="C408" s="1" t="n">
        <v>45821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45821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36551-2022</t>
        </is>
      </c>
      <c r="B410" s="1" t="n">
        <v>44804</v>
      </c>
      <c r="C410" s="1" t="n">
        <v>45821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36621-2022</t>
        </is>
      </c>
      <c r="B411" s="1" t="n">
        <v>44804</v>
      </c>
      <c r="C411" s="1" t="n">
        <v>45821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36841-2022</t>
        </is>
      </c>
      <c r="B412" s="1" t="n">
        <v>44805</v>
      </c>
      <c r="C412" s="1" t="n">
        <v>45821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37435-2022</t>
        </is>
      </c>
      <c r="B413" s="1" t="n">
        <v>44809</v>
      </c>
      <c r="C413" s="1" t="n">
        <v>45821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37946-2022</t>
        </is>
      </c>
      <c r="B414" s="1" t="n">
        <v>44811</v>
      </c>
      <c r="C414" s="1" t="n">
        <v>45821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38106-2022</t>
        </is>
      </c>
      <c r="B415" s="1" t="n">
        <v>44812</v>
      </c>
      <c r="C415" s="1" t="n">
        <v>45821</v>
      </c>
      <c r="D415" t="inlineStr">
        <is>
          <t>JÖNKÖPINGS LÄN</t>
        </is>
      </c>
      <c r="E415" t="inlineStr">
        <is>
          <t>NÄSSJÖ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38107-2022</t>
        </is>
      </c>
      <c r="B416" s="1" t="n">
        <v>44812</v>
      </c>
      <c r="C416" s="1" t="n">
        <v>45821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38535-2022</t>
        </is>
      </c>
      <c r="B417" s="1" t="n">
        <v>44813</v>
      </c>
      <c r="C417" s="1" t="n">
        <v>45821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38658-2022</t>
        </is>
      </c>
      <c r="B418" s="1" t="n">
        <v>44813</v>
      </c>
      <c r="C418" s="1" t="n">
        <v>45821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38657-2022</t>
        </is>
      </c>
      <c r="B419" s="1" t="n">
        <v>44813</v>
      </c>
      <c r="C419" s="1" t="n">
        <v>45821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38783-2022</t>
        </is>
      </c>
      <c r="B420" s="1" t="n">
        <v>44816</v>
      </c>
      <c r="C420" s="1" t="n">
        <v>45821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38795-2022</t>
        </is>
      </c>
      <c r="B421" s="1" t="n">
        <v>44816</v>
      </c>
      <c r="C421" s="1" t="n">
        <v>45821</v>
      </c>
      <c r="D421" t="inlineStr">
        <is>
          <t>JÖNKÖPINGS LÄN</t>
        </is>
      </c>
      <c r="E421" t="inlineStr">
        <is>
          <t>NÄSSJÖ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39519-2022</t>
        </is>
      </c>
      <c r="B422" s="1" t="n">
        <v>44818</v>
      </c>
      <c r="C422" s="1" t="n">
        <v>45821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39643-2022</t>
        </is>
      </c>
      <c r="B423" s="1" t="n">
        <v>44818</v>
      </c>
      <c r="C423" s="1" t="n">
        <v>45821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39717-2022</t>
        </is>
      </c>
      <c r="B424" s="1" t="n">
        <v>44819</v>
      </c>
      <c r="C424" s="1" t="n">
        <v>45821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41319-2022</t>
        </is>
      </c>
      <c r="B425" s="1" t="n">
        <v>44826</v>
      </c>
      <c r="C425" s="1" t="n">
        <v>45821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45821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41325-2022</t>
        </is>
      </c>
      <c r="B427" s="1" t="n">
        <v>44826</v>
      </c>
      <c r="C427" s="1" t="n">
        <v>45821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42050-2022</t>
        </is>
      </c>
      <c r="B428" s="1" t="n">
        <v>44827</v>
      </c>
      <c r="C428" s="1" t="n">
        <v>45821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42039-2022</t>
        </is>
      </c>
      <c r="B429" s="1" t="n">
        <v>44827</v>
      </c>
      <c r="C429" s="1" t="n">
        <v>45821</v>
      </c>
      <c r="D429" t="inlineStr">
        <is>
          <t>JÖNKÖPINGS LÄN</t>
        </is>
      </c>
      <c r="E429" t="inlineStr">
        <is>
          <t>NÄSSJÖ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43398-2022</t>
        </is>
      </c>
      <c r="B430" s="1" t="n">
        <v>44834</v>
      </c>
      <c r="C430" s="1" t="n">
        <v>45821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43397-2022</t>
        </is>
      </c>
      <c r="B431" s="1" t="n">
        <v>44834</v>
      </c>
      <c r="C431" s="1" t="n">
        <v>45821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43545-2022</t>
        </is>
      </c>
      <c r="B432" s="1" t="n">
        <v>44837</v>
      </c>
      <c r="C432" s="1" t="n">
        <v>45821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43736-2022</t>
        </is>
      </c>
      <c r="B433" s="1" t="n">
        <v>44837</v>
      </c>
      <c r="C433" s="1" t="n">
        <v>45821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43734-2022</t>
        </is>
      </c>
      <c r="B434" s="1" t="n">
        <v>44837</v>
      </c>
      <c r="C434" s="1" t="n">
        <v>45821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43731-2022</t>
        </is>
      </c>
      <c r="B435" s="1" t="n">
        <v>44837</v>
      </c>
      <c r="C435" s="1" t="n">
        <v>45821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44393-2022</t>
        </is>
      </c>
      <c r="B436" s="1" t="n">
        <v>44838</v>
      </c>
      <c r="C436" s="1" t="n">
        <v>45821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45406-2022</t>
        </is>
      </c>
      <c r="B437" s="1" t="n">
        <v>44844</v>
      </c>
      <c r="C437" s="1" t="n">
        <v>45821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46452-2022</t>
        </is>
      </c>
      <c r="B438" s="1" t="n">
        <v>44848</v>
      </c>
      <c r="C438" s="1" t="n">
        <v>45821</v>
      </c>
      <c r="D438" t="inlineStr">
        <is>
          <t>JÖNKÖPINGS LÄN</t>
        </is>
      </c>
      <c r="E438" t="inlineStr">
        <is>
          <t>NÄSSJÖ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46580-2022</t>
        </is>
      </c>
      <c r="B439" s="1" t="n">
        <v>44848</v>
      </c>
      <c r="C439" s="1" t="n">
        <v>45821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46582-2022</t>
        </is>
      </c>
      <c r="B440" s="1" t="n">
        <v>44848</v>
      </c>
      <c r="C440" s="1" t="n">
        <v>45821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48468-2022</t>
        </is>
      </c>
      <c r="B441" s="1" t="n">
        <v>44858</v>
      </c>
      <c r="C441" s="1" t="n">
        <v>45821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48479-2022</t>
        </is>
      </c>
      <c r="B442" s="1" t="n">
        <v>44858</v>
      </c>
      <c r="C442" s="1" t="n">
        <v>45821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48151-2022</t>
        </is>
      </c>
      <c r="B443" s="1" t="n">
        <v>44858</v>
      </c>
      <c r="C443" s="1" t="n">
        <v>45821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45821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50480-2022</t>
        </is>
      </c>
      <c r="B445" s="1" t="n">
        <v>44866</v>
      </c>
      <c r="C445" s="1" t="n">
        <v>45821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50815-2022</t>
        </is>
      </c>
      <c r="B446" s="1" t="n">
        <v>44867</v>
      </c>
      <c r="C446" s="1" t="n">
        <v>45821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50812-2022</t>
        </is>
      </c>
      <c r="B447" s="1" t="n">
        <v>44867</v>
      </c>
      <c r="C447" s="1" t="n">
        <v>45821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51412-2022</t>
        </is>
      </c>
      <c r="B448" s="1" t="n">
        <v>44869</v>
      </c>
      <c r="C448" s="1" t="n">
        <v>45821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51414-2022</t>
        </is>
      </c>
      <c r="B449" s="1" t="n">
        <v>44869</v>
      </c>
      <c r="C449" s="1" t="n">
        <v>45821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52592-2022</t>
        </is>
      </c>
      <c r="B450" s="1" t="n">
        <v>44869</v>
      </c>
      <c r="C450" s="1" t="n">
        <v>45821</v>
      </c>
      <c r="D450" t="inlineStr">
        <is>
          <t>JÖNKÖPINGS LÄN</t>
        </is>
      </c>
      <c r="E450" t="inlineStr">
        <is>
          <t>NÄSSJÖ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52591-2022</t>
        </is>
      </c>
      <c r="B451" s="1" t="n">
        <v>44869</v>
      </c>
      <c r="C451" s="1" t="n">
        <v>45821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52514-2022</t>
        </is>
      </c>
      <c r="B452" s="1" t="n">
        <v>44869</v>
      </c>
      <c r="C452" s="1" t="n">
        <v>45821</v>
      </c>
      <c r="D452" t="inlineStr">
        <is>
          <t>JÖNKÖPINGS LÄN</t>
        </is>
      </c>
      <c r="E452" t="inlineStr">
        <is>
          <t>NÄSSJÖ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</v>
      </c>
      <c r="C453" s="1" t="n">
        <v>45821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52305-2022</t>
        </is>
      </c>
      <c r="B454" s="1" t="n">
        <v>44873</v>
      </c>
      <c r="C454" s="1" t="n">
        <v>45821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52241-2022</t>
        </is>
      </c>
      <c r="B455" s="1" t="n">
        <v>44873</v>
      </c>
      <c r="C455" s="1" t="n">
        <v>45821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52306-2022</t>
        </is>
      </c>
      <c r="B456" s="1" t="n">
        <v>44873</v>
      </c>
      <c r="C456" s="1" t="n">
        <v>45821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52605-2022</t>
        </is>
      </c>
      <c r="B457" s="1" t="n">
        <v>44874</v>
      </c>
      <c r="C457" s="1" t="n">
        <v>45821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52671-2022</t>
        </is>
      </c>
      <c r="B458" s="1" t="n">
        <v>44874</v>
      </c>
      <c r="C458" s="1" t="n">
        <v>45821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52655-2022</t>
        </is>
      </c>
      <c r="B459" s="1" t="n">
        <v>44874</v>
      </c>
      <c r="C459" s="1" t="n">
        <v>45821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53918-2022</t>
        </is>
      </c>
      <c r="B460" s="1" t="n">
        <v>44880</v>
      </c>
      <c r="C460" s="1" t="n">
        <v>45821</v>
      </c>
      <c r="D460" t="inlineStr">
        <is>
          <t>JÖNKÖPINGS LÄN</t>
        </is>
      </c>
      <c r="E460" t="inlineStr">
        <is>
          <t>NÄSSJÖ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53960-2022</t>
        </is>
      </c>
      <c r="B461" s="1" t="n">
        <v>44881</v>
      </c>
      <c r="C461" s="1" t="n">
        <v>45821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54889-2022</t>
        </is>
      </c>
      <c r="B462" s="1" t="n">
        <v>44886</v>
      </c>
      <c r="C462" s="1" t="n">
        <v>45821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54892-2022</t>
        </is>
      </c>
      <c r="B463" s="1" t="n">
        <v>44886</v>
      </c>
      <c r="C463" s="1" t="n">
        <v>45821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55461-2022</t>
        </is>
      </c>
      <c r="B464" s="1" t="n">
        <v>44887</v>
      </c>
      <c r="C464" s="1" t="n">
        <v>45821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55466-2022</t>
        </is>
      </c>
      <c r="B465" s="1" t="n">
        <v>44887</v>
      </c>
      <c r="C465" s="1" t="n">
        <v>45821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55606-2022</t>
        </is>
      </c>
      <c r="B466" s="1" t="n">
        <v>44888</v>
      </c>
      <c r="C466" s="1" t="n">
        <v>45821</v>
      </c>
      <c r="D466" t="inlineStr">
        <is>
          <t>JÖNKÖPINGS LÄN</t>
        </is>
      </c>
      <c r="E466" t="inlineStr">
        <is>
          <t>NÄSSJÖ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56392-2022</t>
        </is>
      </c>
      <c r="B467" s="1" t="n">
        <v>44890</v>
      </c>
      <c r="C467" s="1" t="n">
        <v>45821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</v>
      </c>
      <c r="C468" s="1" t="n">
        <v>45821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57731-2022</t>
        </is>
      </c>
      <c r="B469" s="1" t="n">
        <v>44897</v>
      </c>
      <c r="C469" s="1" t="n">
        <v>45821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57856-2022</t>
        </is>
      </c>
      <c r="B470" s="1" t="n">
        <v>44898</v>
      </c>
      <c r="C470" s="1" t="n">
        <v>45821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57910-2022</t>
        </is>
      </c>
      <c r="B471" s="1" t="n">
        <v>44900</v>
      </c>
      <c r="C471" s="1" t="n">
        <v>45821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58291-2022</t>
        </is>
      </c>
      <c r="B472" s="1" t="n">
        <v>44901</v>
      </c>
      <c r="C472" s="1" t="n">
        <v>45821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58533-2022</t>
        </is>
      </c>
      <c r="B473" s="1" t="n">
        <v>44902</v>
      </c>
      <c r="C473" s="1" t="n">
        <v>45821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45821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58553-2022</t>
        </is>
      </c>
      <c r="B475" s="1" t="n">
        <v>44902</v>
      </c>
      <c r="C475" s="1" t="n">
        <v>45821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59348-2022</t>
        </is>
      </c>
      <c r="B476" s="1" t="n">
        <v>44904</v>
      </c>
      <c r="C476" s="1" t="n">
        <v>45821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59351-2022</t>
        </is>
      </c>
      <c r="B477" s="1" t="n">
        <v>44904</v>
      </c>
      <c r="C477" s="1" t="n">
        <v>45821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60765-2022</t>
        </is>
      </c>
      <c r="B478" s="1" t="n">
        <v>44914</v>
      </c>
      <c r="C478" s="1" t="n">
        <v>45821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61238-2022</t>
        </is>
      </c>
      <c r="B479" s="1" t="n">
        <v>44915</v>
      </c>
      <c r="C479" s="1" t="n">
        <v>45821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61545-2022</t>
        </is>
      </c>
      <c r="B480" s="1" t="n">
        <v>44916</v>
      </c>
      <c r="C480" s="1" t="n">
        <v>45821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235-2023</t>
        </is>
      </c>
      <c r="B481" s="1" t="n">
        <v>44928</v>
      </c>
      <c r="C481" s="1" t="n">
        <v>45821</v>
      </c>
      <c r="D481" t="inlineStr">
        <is>
          <t>JÖNKÖPINGS LÄN</t>
        </is>
      </c>
      <c r="E481" t="inlineStr">
        <is>
          <t>NÄSSJÖ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250-2023</t>
        </is>
      </c>
      <c r="B482" s="1" t="n">
        <v>44928</v>
      </c>
      <c r="C482" s="1" t="n">
        <v>45821</v>
      </c>
      <c r="D482" t="inlineStr">
        <is>
          <t>JÖNKÖPINGS LÄN</t>
        </is>
      </c>
      <c r="E482" t="inlineStr">
        <is>
          <t>NÄSSJÖ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207-2023</t>
        </is>
      </c>
      <c r="B483" s="1" t="n">
        <v>44928</v>
      </c>
      <c r="C483" s="1" t="n">
        <v>45821</v>
      </c>
      <c r="D483" t="inlineStr">
        <is>
          <t>JÖNKÖPINGS LÄN</t>
        </is>
      </c>
      <c r="E483" t="inlineStr">
        <is>
          <t>NÄSSJÖ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253-2023</t>
        </is>
      </c>
      <c r="B484" s="1" t="n">
        <v>44928</v>
      </c>
      <c r="C484" s="1" t="n">
        <v>45821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241-2023</t>
        </is>
      </c>
      <c r="B485" s="1" t="n">
        <v>44928</v>
      </c>
      <c r="C485" s="1" t="n">
        <v>45821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210-2023</t>
        </is>
      </c>
      <c r="B486" s="1" t="n">
        <v>44928</v>
      </c>
      <c r="C486" s="1" t="n">
        <v>45821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2431-2023</t>
        </is>
      </c>
      <c r="B487" s="1" t="n">
        <v>44939</v>
      </c>
      <c r="C487" s="1" t="n">
        <v>45821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2698-2023</t>
        </is>
      </c>
      <c r="B488" s="1" t="n">
        <v>44942</v>
      </c>
      <c r="C488" s="1" t="n">
        <v>45821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2701-2023</t>
        </is>
      </c>
      <c r="B489" s="1" t="n">
        <v>44942</v>
      </c>
      <c r="C489" s="1" t="n">
        <v>45821</v>
      </c>
      <c r="D489" t="inlineStr">
        <is>
          <t>JÖNKÖPINGS LÄN</t>
        </is>
      </c>
      <c r="E489" t="inlineStr">
        <is>
          <t>NÄSSJÖ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2700-2023</t>
        </is>
      </c>
      <c r="B490" s="1" t="n">
        <v>44942</v>
      </c>
      <c r="C490" s="1" t="n">
        <v>45821</v>
      </c>
      <c r="D490" t="inlineStr">
        <is>
          <t>JÖNKÖPINGS LÄN</t>
        </is>
      </c>
      <c r="E490" t="inlineStr">
        <is>
          <t>NÄSSJÖ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2911-2023</t>
        </is>
      </c>
      <c r="B491" s="1" t="n">
        <v>44945</v>
      </c>
      <c r="C491" s="1" t="n">
        <v>45821</v>
      </c>
      <c r="D491" t="inlineStr">
        <is>
          <t>JÖNKÖPINGS LÄN</t>
        </is>
      </c>
      <c r="E491" t="inlineStr">
        <is>
          <t>NÄSSJÖ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2988-2023</t>
        </is>
      </c>
      <c r="B492" s="1" t="n">
        <v>44945</v>
      </c>
      <c r="C492" s="1" t="n">
        <v>45821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3169-2023</t>
        </is>
      </c>
      <c r="B493" s="1" t="n">
        <v>44946</v>
      </c>
      <c r="C493" s="1" t="n">
        <v>45821</v>
      </c>
      <c r="D493" t="inlineStr">
        <is>
          <t>JÖNKÖPINGS LÄN</t>
        </is>
      </c>
      <c r="E493" t="inlineStr">
        <is>
          <t>NÄSSJÖ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45821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3192-2023</t>
        </is>
      </c>
      <c r="B495" s="1" t="n">
        <v>44946</v>
      </c>
      <c r="C495" s="1" t="n">
        <v>45821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3197-2023</t>
        </is>
      </c>
      <c r="B496" s="1" t="n">
        <v>44946</v>
      </c>
      <c r="C496" s="1" t="n">
        <v>45821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3662-2023</t>
        </is>
      </c>
      <c r="B497" s="1" t="n">
        <v>44950</v>
      </c>
      <c r="C497" s="1" t="n">
        <v>45821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3663-2023</t>
        </is>
      </c>
      <c r="B498" s="1" t="n">
        <v>44950</v>
      </c>
      <c r="C498" s="1" t="n">
        <v>45821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4526-2023</t>
        </is>
      </c>
      <c r="B499" s="1" t="n">
        <v>44952</v>
      </c>
      <c r="C499" s="1" t="n">
        <v>45821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4909-2023</t>
        </is>
      </c>
      <c r="B500" s="1" t="n">
        <v>44956</v>
      </c>
      <c r="C500" s="1" t="n">
        <v>45821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45821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</v>
      </c>
      <c r="C502" s="1" t="n">
        <v>45821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4548-2023</t>
        </is>
      </c>
      <c r="B503" s="1" t="n">
        <v>44956</v>
      </c>
      <c r="C503" s="1" t="n">
        <v>45821</v>
      </c>
      <c r="D503" t="inlineStr">
        <is>
          <t>JÖNKÖPINGS LÄN</t>
        </is>
      </c>
      <c r="E503" t="inlineStr">
        <is>
          <t>NÄSSJÖ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4571-2023</t>
        </is>
      </c>
      <c r="B504" s="1" t="n">
        <v>44956</v>
      </c>
      <c r="C504" s="1" t="n">
        <v>45821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5371-2023</t>
        </is>
      </c>
      <c r="B505" s="1" t="n">
        <v>44959</v>
      </c>
      <c r="C505" s="1" t="n">
        <v>45821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6400-2023</t>
        </is>
      </c>
      <c r="B506" s="1" t="n">
        <v>44965</v>
      </c>
      <c r="C506" s="1" t="n">
        <v>45821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6402-2023</t>
        </is>
      </c>
      <c r="B507" s="1" t="n">
        <v>44965</v>
      </c>
      <c r="C507" s="1" t="n">
        <v>45821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6401-2023</t>
        </is>
      </c>
      <c r="B508" s="1" t="n">
        <v>44965</v>
      </c>
      <c r="C508" s="1" t="n">
        <v>45821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7241-2023</t>
        </is>
      </c>
      <c r="B509" s="1" t="n">
        <v>44970</v>
      </c>
      <c r="C509" s="1" t="n">
        <v>45821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7305-2023</t>
        </is>
      </c>
      <c r="B510" s="1" t="n">
        <v>44970</v>
      </c>
      <c r="C510" s="1" t="n">
        <v>45821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</v>
      </c>
      <c r="C511" s="1" t="n">
        <v>45821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8491-2023</t>
        </is>
      </c>
      <c r="B512" s="1" t="n">
        <v>44972</v>
      </c>
      <c r="C512" s="1" t="n">
        <v>45821</v>
      </c>
      <c r="D512" t="inlineStr">
        <is>
          <t>JÖNKÖPINGS LÄN</t>
        </is>
      </c>
      <c r="E512" t="inlineStr">
        <is>
          <t>NÄSSJÖ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8531-2023</t>
        </is>
      </c>
      <c r="B513" s="1" t="n">
        <v>44972</v>
      </c>
      <c r="C513" s="1" t="n">
        <v>45821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7733-2023</t>
        </is>
      </c>
      <c r="B514" s="1" t="n">
        <v>44973</v>
      </c>
      <c r="C514" s="1" t="n">
        <v>45821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8989-2023</t>
        </is>
      </c>
      <c r="B515" s="1" t="n">
        <v>44974</v>
      </c>
      <c r="C515" s="1" t="n">
        <v>45821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8986-2023</t>
        </is>
      </c>
      <c r="B516" s="1" t="n">
        <v>44974</v>
      </c>
      <c r="C516" s="1" t="n">
        <v>45821</v>
      </c>
      <c r="D516" t="inlineStr">
        <is>
          <t>JÖNKÖPINGS LÄN</t>
        </is>
      </c>
      <c r="E516" t="inlineStr">
        <is>
          <t>NÄSSJÖ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8339-2023</t>
        </is>
      </c>
      <c r="B517" s="1" t="n">
        <v>44976</v>
      </c>
      <c r="C517" s="1" t="n">
        <v>45821</v>
      </c>
      <c r="D517" t="inlineStr">
        <is>
          <t>JÖNKÖPINGS LÄN</t>
        </is>
      </c>
      <c r="E517" t="inlineStr">
        <is>
          <t>NÄSSJÖ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9279-2023</t>
        </is>
      </c>
      <c r="B518" s="1" t="n">
        <v>44980</v>
      </c>
      <c r="C518" s="1" t="n">
        <v>45821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</v>
      </c>
      <c r="C519" s="1" t="n">
        <v>45821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10060-2023</t>
        </is>
      </c>
      <c r="B520" s="1" t="n">
        <v>44985</v>
      </c>
      <c r="C520" s="1" t="n">
        <v>45821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10645-2023</t>
        </is>
      </c>
      <c r="B521" s="1" t="n">
        <v>44988</v>
      </c>
      <c r="C521" s="1" t="n">
        <v>45821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10683-2023</t>
        </is>
      </c>
      <c r="B522" s="1" t="n">
        <v>44988</v>
      </c>
      <c r="C522" s="1" t="n">
        <v>45821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</v>
      </c>
      <c r="C523" s="1" t="n">
        <v>45821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10819-2023</t>
        </is>
      </c>
      <c r="B524" s="1" t="n">
        <v>44990</v>
      </c>
      <c r="C524" s="1" t="n">
        <v>45821</v>
      </c>
      <c r="D524" t="inlineStr">
        <is>
          <t>JÖNKÖPINGS LÄN</t>
        </is>
      </c>
      <c r="E524" t="inlineStr">
        <is>
          <t>NÄSSJÖ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11120-2023</t>
        </is>
      </c>
      <c r="B525" s="1" t="n">
        <v>44992</v>
      </c>
      <c r="C525" s="1" t="n">
        <v>45821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11126-2023</t>
        </is>
      </c>
      <c r="B526" s="1" t="n">
        <v>44992</v>
      </c>
      <c r="C526" s="1" t="n">
        <v>45821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11523-2023</t>
        </is>
      </c>
      <c r="B527" s="1" t="n">
        <v>44993</v>
      </c>
      <c r="C527" s="1" t="n">
        <v>45821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11917-2023</t>
        </is>
      </c>
      <c r="B528" s="1" t="n">
        <v>44994</v>
      </c>
      <c r="C528" s="1" t="n">
        <v>45821</v>
      </c>
      <c r="D528" t="inlineStr">
        <is>
          <t>JÖNKÖPINGS LÄN</t>
        </is>
      </c>
      <c r="E528" t="inlineStr">
        <is>
          <t>NÄSSJÖ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11939-2023</t>
        </is>
      </c>
      <c r="B529" s="1" t="n">
        <v>44995</v>
      </c>
      <c r="C529" s="1" t="n">
        <v>45821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12592-2023</t>
        </is>
      </c>
      <c r="B530" s="1" t="n">
        <v>45000</v>
      </c>
      <c r="C530" s="1" t="n">
        <v>45821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12587-2023</t>
        </is>
      </c>
      <c r="B531" s="1" t="n">
        <v>45000</v>
      </c>
      <c r="C531" s="1" t="n">
        <v>45821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45821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14116-2023</t>
        </is>
      </c>
      <c r="B533" s="1" t="n">
        <v>45009</v>
      </c>
      <c r="C533" s="1" t="n">
        <v>45821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14117-2023</t>
        </is>
      </c>
      <c r="B534" s="1" t="n">
        <v>45009</v>
      </c>
      <c r="C534" s="1" t="n">
        <v>45821</v>
      </c>
      <c r="D534" t="inlineStr">
        <is>
          <t>JÖNKÖPINGS LÄN</t>
        </is>
      </c>
      <c r="E534" t="inlineStr">
        <is>
          <t>NÄSSJÖ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14297-2023</t>
        </is>
      </c>
      <c r="B535" s="1" t="n">
        <v>45011</v>
      </c>
      <c r="C535" s="1" t="n">
        <v>45821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14656-2023</t>
        </is>
      </c>
      <c r="B536" s="1" t="n">
        <v>45013</v>
      </c>
      <c r="C536" s="1" t="n">
        <v>45821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14654-2023</t>
        </is>
      </c>
      <c r="B537" s="1" t="n">
        <v>45013</v>
      </c>
      <c r="C537" s="1" t="n">
        <v>45821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14830-2023</t>
        </is>
      </c>
      <c r="B538" s="1" t="n">
        <v>45014</v>
      </c>
      <c r="C538" s="1" t="n">
        <v>45821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14829-2023</t>
        </is>
      </c>
      <c r="B539" s="1" t="n">
        <v>45014</v>
      </c>
      <c r="C539" s="1" t="n">
        <v>45821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14778-2023</t>
        </is>
      </c>
      <c r="B540" s="1" t="n">
        <v>45014</v>
      </c>
      <c r="C540" s="1" t="n">
        <v>45821</v>
      </c>
      <c r="D540" t="inlineStr">
        <is>
          <t>JÖNKÖPINGS LÄN</t>
        </is>
      </c>
      <c r="E540" t="inlineStr">
        <is>
          <t>NÄSSJÖ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14832-2023</t>
        </is>
      </c>
      <c r="B541" s="1" t="n">
        <v>45014</v>
      </c>
      <c r="C541" s="1" t="n">
        <v>45821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14914-2023</t>
        </is>
      </c>
      <c r="B542" s="1" t="n">
        <v>45015</v>
      </c>
      <c r="C542" s="1" t="n">
        <v>45821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14916-2023</t>
        </is>
      </c>
      <c r="B543" s="1" t="n">
        <v>45015</v>
      </c>
      <c r="C543" s="1" t="n">
        <v>45821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15606-2023</t>
        </is>
      </c>
      <c r="B544" s="1" t="n">
        <v>45020</v>
      </c>
      <c r="C544" s="1" t="n">
        <v>45821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15611-2023</t>
        </is>
      </c>
      <c r="B545" s="1" t="n">
        <v>45020</v>
      </c>
      <c r="C545" s="1" t="n">
        <v>45821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15665-2023</t>
        </is>
      </c>
      <c r="B546" s="1" t="n">
        <v>45021</v>
      </c>
      <c r="C546" s="1" t="n">
        <v>45821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15759-2023</t>
        </is>
      </c>
      <c r="B547" s="1" t="n">
        <v>45021</v>
      </c>
      <c r="C547" s="1" t="n">
        <v>45821</v>
      </c>
      <c r="D547" t="inlineStr">
        <is>
          <t>JÖNKÖPINGS LÄN</t>
        </is>
      </c>
      <c r="E547" t="inlineStr">
        <is>
          <t>NÄSSJÖ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15796-2023</t>
        </is>
      </c>
      <c r="B548" s="1" t="n">
        <v>45021</v>
      </c>
      <c r="C548" s="1" t="n">
        <v>45821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15797-2023</t>
        </is>
      </c>
      <c r="B549" s="1" t="n">
        <v>45021</v>
      </c>
      <c r="C549" s="1" t="n">
        <v>45821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16043-2023</t>
        </is>
      </c>
      <c r="B550" s="1" t="n">
        <v>45027</v>
      </c>
      <c r="C550" s="1" t="n">
        <v>45821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16770-2023</t>
        </is>
      </c>
      <c r="B551" s="1" t="n">
        <v>45031</v>
      </c>
      <c r="C551" s="1" t="n">
        <v>45821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16775-2023</t>
        </is>
      </c>
      <c r="B552" s="1" t="n">
        <v>45031</v>
      </c>
      <c r="C552" s="1" t="n">
        <v>45821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16776-2023</t>
        </is>
      </c>
      <c r="B553" s="1" t="n">
        <v>45031</v>
      </c>
      <c r="C553" s="1" t="n">
        <v>45821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18312-2023</t>
        </is>
      </c>
      <c r="B554" s="1" t="n">
        <v>45041</v>
      </c>
      <c r="C554" s="1" t="n">
        <v>45821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18331-2023</t>
        </is>
      </c>
      <c r="B555" s="1" t="n">
        <v>45041</v>
      </c>
      <c r="C555" s="1" t="n">
        <v>45821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18697-2023</t>
        </is>
      </c>
      <c r="B556" s="1" t="n">
        <v>45043</v>
      </c>
      <c r="C556" s="1" t="n">
        <v>45821</v>
      </c>
      <c r="D556" t="inlineStr">
        <is>
          <t>JÖNKÖPINGS LÄN</t>
        </is>
      </c>
      <c r="E556" t="inlineStr">
        <is>
          <t>NÄSSJÖ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19186-2023</t>
        </is>
      </c>
      <c r="B557" s="1" t="n">
        <v>45046</v>
      </c>
      <c r="C557" s="1" t="n">
        <v>45821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19181-2023</t>
        </is>
      </c>
      <c r="B558" s="1" t="n">
        <v>45046</v>
      </c>
      <c r="C558" s="1" t="n">
        <v>45821</v>
      </c>
      <c r="D558" t="inlineStr">
        <is>
          <t>JÖNKÖPINGS LÄN</t>
        </is>
      </c>
      <c r="E558" t="inlineStr">
        <is>
          <t>NÄSSJÖ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19123-2023</t>
        </is>
      </c>
      <c r="B559" s="1" t="n">
        <v>45048</v>
      </c>
      <c r="C559" s="1" t="n">
        <v>45821</v>
      </c>
      <c r="D559" t="inlineStr">
        <is>
          <t>JÖNKÖPINGS LÄN</t>
        </is>
      </c>
      <c r="E559" t="inlineStr">
        <is>
          <t>NÄSSJÖ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19838-2023</t>
        </is>
      </c>
      <c r="B560" s="1" t="n">
        <v>45052</v>
      </c>
      <c r="C560" s="1" t="n">
        <v>45821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19839-2023</t>
        </is>
      </c>
      <c r="B561" s="1" t="n">
        <v>45052</v>
      </c>
      <c r="C561" s="1" t="n">
        <v>45821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19906-2023</t>
        </is>
      </c>
      <c r="B562" s="1" t="n">
        <v>45054</v>
      </c>
      <c r="C562" s="1" t="n">
        <v>45821</v>
      </c>
      <c r="D562" t="inlineStr">
        <is>
          <t>JÖNKÖPINGS LÄN</t>
        </is>
      </c>
      <c r="E562" t="inlineStr">
        <is>
          <t>NÄSSJÖ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20162-2023</t>
        </is>
      </c>
      <c r="B563" s="1" t="n">
        <v>45055</v>
      </c>
      <c r="C563" s="1" t="n">
        <v>45821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20356-2023</t>
        </is>
      </c>
      <c r="B564" s="1" t="n">
        <v>45056</v>
      </c>
      <c r="C564" s="1" t="n">
        <v>45821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20916-2023</t>
        </is>
      </c>
      <c r="B565" s="1" t="n">
        <v>45061</v>
      </c>
      <c r="C565" s="1" t="n">
        <v>45821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21292-2023</t>
        </is>
      </c>
      <c r="B566" s="1" t="n">
        <v>45062</v>
      </c>
      <c r="C566" s="1" t="n">
        <v>45821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21298-2023</t>
        </is>
      </c>
      <c r="B567" s="1" t="n">
        <v>45062</v>
      </c>
      <c r="C567" s="1" t="n">
        <v>45821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21276-2023</t>
        </is>
      </c>
      <c r="B568" s="1" t="n">
        <v>45062</v>
      </c>
      <c r="C568" s="1" t="n">
        <v>45821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</v>
      </c>
      <c r="C569" s="1" t="n">
        <v>45821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21741-2023</t>
        </is>
      </c>
      <c r="B570" s="1" t="n">
        <v>45065</v>
      </c>
      <c r="C570" s="1" t="n">
        <v>45821</v>
      </c>
      <c r="D570" t="inlineStr">
        <is>
          <t>JÖNKÖPINGS LÄN</t>
        </is>
      </c>
      <c r="E570" t="inlineStr">
        <is>
          <t>NÄSSJÖ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21994-2023</t>
        </is>
      </c>
      <c r="B571" s="1" t="n">
        <v>45068</v>
      </c>
      <c r="C571" s="1" t="n">
        <v>45821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45821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22173-2023</t>
        </is>
      </c>
      <c r="B573" s="1" t="n">
        <v>45069</v>
      </c>
      <c r="C573" s="1" t="n">
        <v>45821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22528-2023</t>
        </is>
      </c>
      <c r="B574" s="1" t="n">
        <v>45071</v>
      </c>
      <c r="C574" s="1" t="n">
        <v>45821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23623-2023</t>
        </is>
      </c>
      <c r="B575" s="1" t="n">
        <v>45077</v>
      </c>
      <c r="C575" s="1" t="n">
        <v>45821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23625-2023</t>
        </is>
      </c>
      <c r="B576" s="1" t="n">
        <v>45077</v>
      </c>
      <c r="C576" s="1" t="n">
        <v>45821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23850-2023</t>
        </is>
      </c>
      <c r="B577" s="1" t="n">
        <v>45078</v>
      </c>
      <c r="C577" s="1" t="n">
        <v>45821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24149-2023</t>
        </is>
      </c>
      <c r="B578" s="1" t="n">
        <v>45079</v>
      </c>
      <c r="C578" s="1" t="n">
        <v>45821</v>
      </c>
      <c r="D578" t="inlineStr">
        <is>
          <t>JÖNKÖPINGS LÄN</t>
        </is>
      </c>
      <c r="E578" t="inlineStr">
        <is>
          <t>NÄSSJÖ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24576-2023</t>
        </is>
      </c>
      <c r="B579" s="1" t="n">
        <v>45083</v>
      </c>
      <c r="C579" s="1" t="n">
        <v>45821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24575-2023</t>
        </is>
      </c>
      <c r="B580" s="1" t="n">
        <v>45083</v>
      </c>
      <c r="C580" s="1" t="n">
        <v>45821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24574-2023</t>
        </is>
      </c>
      <c r="B581" s="1" t="n">
        <v>45083</v>
      </c>
      <c r="C581" s="1" t="n">
        <v>45821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24578-2023</t>
        </is>
      </c>
      <c r="B582" s="1" t="n">
        <v>45083</v>
      </c>
      <c r="C582" s="1" t="n">
        <v>45821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24577-2023</t>
        </is>
      </c>
      <c r="B583" s="1" t="n">
        <v>45083</v>
      </c>
      <c r="C583" s="1" t="n">
        <v>45821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25248-2023</t>
        </is>
      </c>
      <c r="B584" s="1" t="n">
        <v>45086</v>
      </c>
      <c r="C584" s="1" t="n">
        <v>45821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25278-2023</t>
        </is>
      </c>
      <c r="B585" s="1" t="n">
        <v>45086</v>
      </c>
      <c r="C585" s="1" t="n">
        <v>45821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26336-2023</t>
        </is>
      </c>
      <c r="B586" s="1" t="n">
        <v>45091</v>
      </c>
      <c r="C586" s="1" t="n">
        <v>45821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26335-2023</t>
        </is>
      </c>
      <c r="B587" s="1" t="n">
        <v>45091</v>
      </c>
      <c r="C587" s="1" t="n">
        <v>45821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</v>
      </c>
      <c r="C588" s="1" t="n">
        <v>45821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27215-2023</t>
        </is>
      </c>
      <c r="B589" s="1" t="n">
        <v>45096</v>
      </c>
      <c r="C589" s="1" t="n">
        <v>45821</v>
      </c>
      <c r="D589" t="inlineStr">
        <is>
          <t>JÖNKÖPINGS LÄN</t>
        </is>
      </c>
      <c r="E589" t="inlineStr">
        <is>
          <t>NÄSSJÖ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27173-2023</t>
        </is>
      </c>
      <c r="B590" s="1" t="n">
        <v>45096</v>
      </c>
      <c r="C590" s="1" t="n">
        <v>45821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45821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28343-2023</t>
        </is>
      </c>
      <c r="B592" s="1" t="n">
        <v>45099</v>
      </c>
      <c r="C592" s="1" t="n">
        <v>45821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28341-2023</t>
        </is>
      </c>
      <c r="B593" s="1" t="n">
        <v>45099</v>
      </c>
      <c r="C593" s="1" t="n">
        <v>45821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28457-2023</t>
        </is>
      </c>
      <c r="B594" s="1" t="n">
        <v>45103</v>
      </c>
      <c r="C594" s="1" t="n">
        <v>45821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29259-2023</t>
        </is>
      </c>
      <c r="B595" s="1" t="n">
        <v>45105</v>
      </c>
      <c r="C595" s="1" t="n">
        <v>45821</v>
      </c>
      <c r="D595" t="inlineStr">
        <is>
          <t>JÖNKÖPINGS LÄN</t>
        </is>
      </c>
      <c r="E595" t="inlineStr">
        <is>
          <t>NÄSSJÖ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29403-2023</t>
        </is>
      </c>
      <c r="B596" s="1" t="n">
        <v>45106</v>
      </c>
      <c r="C596" s="1" t="n">
        <v>45821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29574-2023</t>
        </is>
      </c>
      <c r="B597" s="1" t="n">
        <v>45106</v>
      </c>
      <c r="C597" s="1" t="n">
        <v>45821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29989-2023</t>
        </is>
      </c>
      <c r="B598" s="1" t="n">
        <v>45109</v>
      </c>
      <c r="C598" s="1" t="n">
        <v>45821</v>
      </c>
      <c r="D598" t="inlineStr">
        <is>
          <t>JÖNKÖPINGS LÄN</t>
        </is>
      </c>
      <c r="E598" t="inlineStr">
        <is>
          <t>NÄSSJÖ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30001-2023</t>
        </is>
      </c>
      <c r="B599" s="1" t="n">
        <v>45109</v>
      </c>
      <c r="C599" s="1" t="n">
        <v>45821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</v>
      </c>
      <c r="C600" s="1" t="n">
        <v>45821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29987-2023</t>
        </is>
      </c>
      <c r="B601" s="1" t="n">
        <v>45109</v>
      </c>
      <c r="C601" s="1" t="n">
        <v>45821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29988-2023</t>
        </is>
      </c>
      <c r="B602" s="1" t="n">
        <v>45109</v>
      </c>
      <c r="C602" s="1" t="n">
        <v>45821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30327-2023</t>
        </is>
      </c>
      <c r="B603" s="1" t="n">
        <v>45111</v>
      </c>
      <c r="C603" s="1" t="n">
        <v>45821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30325-2023</t>
        </is>
      </c>
      <c r="B604" s="1" t="n">
        <v>45111</v>
      </c>
      <c r="C604" s="1" t="n">
        <v>45821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30412-2023</t>
        </is>
      </c>
      <c r="B605" s="1" t="n">
        <v>45111</v>
      </c>
      <c r="C605" s="1" t="n">
        <v>45821</v>
      </c>
      <c r="D605" t="inlineStr">
        <is>
          <t>JÖNKÖPINGS LÄN</t>
        </is>
      </c>
      <c r="E605" t="inlineStr">
        <is>
          <t>NÄSSJÖ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30324-2023</t>
        </is>
      </c>
      <c r="B606" s="1" t="n">
        <v>45111</v>
      </c>
      <c r="C606" s="1" t="n">
        <v>45821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30659-2023</t>
        </is>
      </c>
      <c r="B607" s="1" t="n">
        <v>45112</v>
      </c>
      <c r="C607" s="1" t="n">
        <v>45821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</v>
      </c>
      <c r="C608" s="1" t="n">
        <v>45821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33533-2023</t>
        </is>
      </c>
      <c r="B609" s="1" t="n">
        <v>45118</v>
      </c>
      <c r="C609" s="1" t="n">
        <v>45821</v>
      </c>
      <c r="D609" t="inlineStr">
        <is>
          <t>JÖNKÖPINGS LÄN</t>
        </is>
      </c>
      <c r="E609" t="inlineStr">
        <is>
          <t>NÄSSJÖ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33531-2023</t>
        </is>
      </c>
      <c r="B610" s="1" t="n">
        <v>45118</v>
      </c>
      <c r="C610" s="1" t="n">
        <v>45821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32761-2023</t>
        </is>
      </c>
      <c r="B611" s="1" t="n">
        <v>45123</v>
      </c>
      <c r="C611" s="1" t="n">
        <v>45821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33384-2023</t>
        </is>
      </c>
      <c r="B612" s="1" t="n">
        <v>45128</v>
      </c>
      <c r="C612" s="1" t="n">
        <v>45821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34373-2023</t>
        </is>
      </c>
      <c r="B613" s="1" t="n">
        <v>45132</v>
      </c>
      <c r="C613" s="1" t="n">
        <v>45821</v>
      </c>
      <c r="D613" t="inlineStr">
        <is>
          <t>JÖNKÖPINGS LÄN</t>
        </is>
      </c>
      <c r="E613" t="inlineStr">
        <is>
          <t>NÄSSJÖ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34377-2023</t>
        </is>
      </c>
      <c r="B614" s="1" t="n">
        <v>45132</v>
      </c>
      <c r="C614" s="1" t="n">
        <v>45821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34365-2023</t>
        </is>
      </c>
      <c r="B615" s="1" t="n">
        <v>45132</v>
      </c>
      <c r="C615" s="1" t="n">
        <v>45821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34379-2023</t>
        </is>
      </c>
      <c r="B616" s="1" t="n">
        <v>45132</v>
      </c>
      <c r="C616" s="1" t="n">
        <v>45821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34370-2023</t>
        </is>
      </c>
      <c r="B617" s="1" t="n">
        <v>45132</v>
      </c>
      <c r="C617" s="1" t="n">
        <v>45821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34545-2023</t>
        </is>
      </c>
      <c r="B618" s="1" t="n">
        <v>45140</v>
      </c>
      <c r="C618" s="1" t="n">
        <v>45821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35066-2023</t>
        </is>
      </c>
      <c r="B619" s="1" t="n">
        <v>45145</v>
      </c>
      <c r="C619" s="1" t="n">
        <v>45821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35074-2023</t>
        </is>
      </c>
      <c r="B620" s="1" t="n">
        <v>45145</v>
      </c>
      <c r="C620" s="1" t="n">
        <v>45821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35811-2023</t>
        </is>
      </c>
      <c r="B621" s="1" t="n">
        <v>45148</v>
      </c>
      <c r="C621" s="1" t="n">
        <v>45821</v>
      </c>
      <c r="D621" t="inlineStr">
        <is>
          <t>JÖNKÖPINGS LÄN</t>
        </is>
      </c>
      <c r="E621" t="inlineStr">
        <is>
          <t>NÄSSJÖ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35967-2023</t>
        </is>
      </c>
      <c r="B622" s="1" t="n">
        <v>45148</v>
      </c>
      <c r="C622" s="1" t="n">
        <v>45821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35966-2023</t>
        </is>
      </c>
      <c r="B623" s="1" t="n">
        <v>45148</v>
      </c>
      <c r="C623" s="1" t="n">
        <v>45821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36675-2023</t>
        </is>
      </c>
      <c r="B624" s="1" t="n">
        <v>45153</v>
      </c>
      <c r="C624" s="1" t="n">
        <v>45821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36945-2023</t>
        </is>
      </c>
      <c r="B625" s="1" t="n">
        <v>45154</v>
      </c>
      <c r="C625" s="1" t="n">
        <v>45821</v>
      </c>
      <c r="D625" t="inlineStr">
        <is>
          <t>JÖNKÖPINGS LÄN</t>
        </is>
      </c>
      <c r="E625" t="inlineStr">
        <is>
          <t>NÄSSJÖ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36949-2023</t>
        </is>
      </c>
      <c r="B626" s="1" t="n">
        <v>45154</v>
      </c>
      <c r="C626" s="1" t="n">
        <v>45821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36950-2023</t>
        </is>
      </c>
      <c r="B627" s="1" t="n">
        <v>45154</v>
      </c>
      <c r="C627" s="1" t="n">
        <v>45821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36943-2023</t>
        </is>
      </c>
      <c r="B628" s="1" t="n">
        <v>45154</v>
      </c>
      <c r="C628" s="1" t="n">
        <v>45821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37009-2023</t>
        </is>
      </c>
      <c r="B629" s="1" t="n">
        <v>45155</v>
      </c>
      <c r="C629" s="1" t="n">
        <v>45821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37010-2023</t>
        </is>
      </c>
      <c r="B630" s="1" t="n">
        <v>45155</v>
      </c>
      <c r="C630" s="1" t="n">
        <v>45821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37206-2023</t>
        </is>
      </c>
      <c r="B631" s="1" t="n">
        <v>45155</v>
      </c>
      <c r="C631" s="1" t="n">
        <v>45821</v>
      </c>
      <c r="D631" t="inlineStr">
        <is>
          <t>JÖNKÖPINGS LÄN</t>
        </is>
      </c>
      <c r="E631" t="inlineStr">
        <is>
          <t>NÄSSJÖ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38051-2023</t>
        </is>
      </c>
      <c r="B632" s="1" t="n">
        <v>45160</v>
      </c>
      <c r="C632" s="1" t="n">
        <v>45821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38053-2023</t>
        </is>
      </c>
      <c r="B633" s="1" t="n">
        <v>45160</v>
      </c>
      <c r="C633" s="1" t="n">
        <v>45821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38238-2023</t>
        </is>
      </c>
      <c r="B634" s="1" t="n">
        <v>45161</v>
      </c>
      <c r="C634" s="1" t="n">
        <v>45821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38579-2023</t>
        </is>
      </c>
      <c r="B635" s="1" t="n">
        <v>45161</v>
      </c>
      <c r="C635" s="1" t="n">
        <v>45821</v>
      </c>
      <c r="D635" t="inlineStr">
        <is>
          <t>JÖNKÖPINGS LÄN</t>
        </is>
      </c>
      <c r="E635" t="inlineStr">
        <is>
          <t>NÄSSJÖ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39197-2023</t>
        </is>
      </c>
      <c r="B636" s="1" t="n">
        <v>45162</v>
      </c>
      <c r="C636" s="1" t="n">
        <v>45821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45821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45821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39030-2023</t>
        </is>
      </c>
      <c r="B639" s="1" t="n">
        <v>45163</v>
      </c>
      <c r="C639" s="1" t="n">
        <v>45821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38852-2023</t>
        </is>
      </c>
      <c r="B640" s="1" t="n">
        <v>45163</v>
      </c>
      <c r="C640" s="1" t="n">
        <v>45821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39442-2023</t>
        </is>
      </c>
      <c r="B641" s="1" t="n">
        <v>45163</v>
      </c>
      <c r="C641" s="1" t="n">
        <v>45821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39444-2023</t>
        </is>
      </c>
      <c r="B642" s="1" t="n">
        <v>45163</v>
      </c>
      <c r="C642" s="1" t="n">
        <v>45821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45821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39252-2023</t>
        </is>
      </c>
      <c r="B644" s="1" t="n">
        <v>45166</v>
      </c>
      <c r="C644" s="1" t="n">
        <v>45821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39757-2023</t>
        </is>
      </c>
      <c r="B645" s="1" t="n">
        <v>45167</v>
      </c>
      <c r="C645" s="1" t="n">
        <v>45821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39801-2023</t>
        </is>
      </c>
      <c r="B646" s="1" t="n">
        <v>45168</v>
      </c>
      <c r="C646" s="1" t="n">
        <v>45821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39743-2023</t>
        </is>
      </c>
      <c r="B647" s="1" t="n">
        <v>45167</v>
      </c>
      <c r="C647" s="1" t="n">
        <v>45821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39756-2023</t>
        </is>
      </c>
      <c r="B648" s="1" t="n">
        <v>45167</v>
      </c>
      <c r="C648" s="1" t="n">
        <v>45821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39802-2023</t>
        </is>
      </c>
      <c r="B649" s="1" t="n">
        <v>45167</v>
      </c>
      <c r="C649" s="1" t="n">
        <v>45821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39832-2023</t>
        </is>
      </c>
      <c r="B650" s="1" t="n">
        <v>45168</v>
      </c>
      <c r="C650" s="1" t="n">
        <v>45821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39830-2023</t>
        </is>
      </c>
      <c r="B651" s="1" t="n">
        <v>45168</v>
      </c>
      <c r="C651" s="1" t="n">
        <v>45821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40317-2023</t>
        </is>
      </c>
      <c r="B652" s="1" t="n">
        <v>45169</v>
      </c>
      <c r="C652" s="1" t="n">
        <v>45821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40927-2023</t>
        </is>
      </c>
      <c r="B653" s="1" t="n">
        <v>45169</v>
      </c>
      <c r="C653" s="1" t="n">
        <v>45821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40955-2023</t>
        </is>
      </c>
      <c r="B654" s="1" t="n">
        <v>45169</v>
      </c>
      <c r="C654" s="1" t="n">
        <v>45821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40902-2023</t>
        </is>
      </c>
      <c r="B655" s="1" t="n">
        <v>45173</v>
      </c>
      <c r="C655" s="1" t="n">
        <v>45821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40945-2023</t>
        </is>
      </c>
      <c r="B656" s="1" t="n">
        <v>45173</v>
      </c>
      <c r="C656" s="1" t="n">
        <v>45821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40906-2023</t>
        </is>
      </c>
      <c r="B657" s="1" t="n">
        <v>45173</v>
      </c>
      <c r="C657" s="1" t="n">
        <v>45821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41511-2023</t>
        </is>
      </c>
      <c r="B658" s="1" t="n">
        <v>45175</v>
      </c>
      <c r="C658" s="1" t="n">
        <v>45821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42485-2023</t>
        </is>
      </c>
      <c r="B659" s="1" t="n">
        <v>45180</v>
      </c>
      <c r="C659" s="1" t="n">
        <v>45821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42484-2023</t>
        </is>
      </c>
      <c r="B660" s="1" t="n">
        <v>45180</v>
      </c>
      <c r="C660" s="1" t="n">
        <v>45821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43523-2023</t>
        </is>
      </c>
      <c r="B661" s="1" t="n">
        <v>45181</v>
      </c>
      <c r="C661" s="1" t="n">
        <v>45821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42752-2023</t>
        </is>
      </c>
      <c r="B662" s="1" t="n">
        <v>45181</v>
      </c>
      <c r="C662" s="1" t="n">
        <v>45821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42708-2023</t>
        </is>
      </c>
      <c r="B663" s="1" t="n">
        <v>45181</v>
      </c>
      <c r="C663" s="1" t="n">
        <v>45821</v>
      </c>
      <c r="D663" t="inlineStr">
        <is>
          <t>JÖNKÖPINGS LÄN</t>
        </is>
      </c>
      <c r="E663" t="inlineStr">
        <is>
          <t>NÄSSJÖ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42751-2023</t>
        </is>
      </c>
      <c r="B664" s="1" t="n">
        <v>45181</v>
      </c>
      <c r="C664" s="1" t="n">
        <v>45821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43921-2023</t>
        </is>
      </c>
      <c r="B665" s="1" t="n">
        <v>45182</v>
      </c>
      <c r="C665" s="1" t="n">
        <v>45821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43137-2023</t>
        </is>
      </c>
      <c r="B666" s="1" t="n">
        <v>45182</v>
      </c>
      <c r="C666" s="1" t="n">
        <v>45821</v>
      </c>
      <c r="D666" t="inlineStr">
        <is>
          <t>JÖNKÖPINGS LÄN</t>
        </is>
      </c>
      <c r="E666" t="inlineStr">
        <is>
          <t>NÄSSJÖ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43923-2023</t>
        </is>
      </c>
      <c r="B667" s="1" t="n">
        <v>45182</v>
      </c>
      <c r="C667" s="1" t="n">
        <v>45821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43918-2023</t>
        </is>
      </c>
      <c r="B668" s="1" t="n">
        <v>45182</v>
      </c>
      <c r="C668" s="1" t="n">
        <v>45821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43340-2023</t>
        </is>
      </c>
      <c r="B669" s="1" t="n">
        <v>45183</v>
      </c>
      <c r="C669" s="1" t="n">
        <v>45821</v>
      </c>
      <c r="D669" t="inlineStr">
        <is>
          <t>JÖNKÖPINGS LÄN</t>
        </is>
      </c>
      <c r="E669" t="inlineStr">
        <is>
          <t>NÄSSJÖ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43249-2023</t>
        </is>
      </c>
      <c r="B670" s="1" t="n">
        <v>45183</v>
      </c>
      <c r="C670" s="1" t="n">
        <v>45821</v>
      </c>
      <c r="D670" t="inlineStr">
        <is>
          <t>JÖNKÖPINGS LÄN</t>
        </is>
      </c>
      <c r="E670" t="inlineStr">
        <is>
          <t>NÄSSJÖ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43256-2023</t>
        </is>
      </c>
      <c r="B671" s="1" t="n">
        <v>45183</v>
      </c>
      <c r="C671" s="1" t="n">
        <v>45821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43693-2023</t>
        </is>
      </c>
      <c r="B672" s="1" t="n">
        <v>45187</v>
      </c>
      <c r="C672" s="1" t="n">
        <v>45821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43697-2023</t>
        </is>
      </c>
      <c r="B673" s="1" t="n">
        <v>45187</v>
      </c>
      <c r="C673" s="1" t="n">
        <v>45821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43695-2023</t>
        </is>
      </c>
      <c r="B674" s="1" t="n">
        <v>45187</v>
      </c>
      <c r="C674" s="1" t="n">
        <v>45821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43690-2023</t>
        </is>
      </c>
      <c r="B675" s="1" t="n">
        <v>45187</v>
      </c>
      <c r="C675" s="1" t="n">
        <v>45821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43998-2023</t>
        </is>
      </c>
      <c r="B676" s="1" t="n">
        <v>45188</v>
      </c>
      <c r="C676" s="1" t="n">
        <v>45821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44151-2023</t>
        </is>
      </c>
      <c r="B677" s="1" t="n">
        <v>45188</v>
      </c>
      <c r="C677" s="1" t="n">
        <v>45821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44360-2023</t>
        </is>
      </c>
      <c r="B678" s="1" t="n">
        <v>45188</v>
      </c>
      <c r="C678" s="1" t="n">
        <v>45821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44370-2023</t>
        </is>
      </c>
      <c r="B679" s="1" t="n">
        <v>45188</v>
      </c>
      <c r="C679" s="1" t="n">
        <v>45821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44566-2023</t>
        </is>
      </c>
      <c r="B680" s="1" t="n">
        <v>45189</v>
      </c>
      <c r="C680" s="1" t="n">
        <v>45821</v>
      </c>
      <c r="D680" t="inlineStr">
        <is>
          <t>JÖNKÖPINGS LÄN</t>
        </is>
      </c>
      <c r="E680" t="inlineStr">
        <is>
          <t>NÄSSJÖ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44766-2023</t>
        </is>
      </c>
      <c r="B681" s="1" t="n">
        <v>45190</v>
      </c>
      <c r="C681" s="1" t="n">
        <v>45821</v>
      </c>
      <c r="D681" t="inlineStr">
        <is>
          <t>JÖNKÖPINGS LÄN</t>
        </is>
      </c>
      <c r="E681" t="inlineStr">
        <is>
          <t>NÄSSJÖ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45453-2023</t>
        </is>
      </c>
      <c r="B682" s="1" t="n">
        <v>45194</v>
      </c>
      <c r="C682" s="1" t="n">
        <v>45821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45666-2023</t>
        </is>
      </c>
      <c r="B683" s="1" t="n">
        <v>45194</v>
      </c>
      <c r="C683" s="1" t="n">
        <v>45821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45865-2023</t>
        </is>
      </c>
      <c r="B684" s="1" t="n">
        <v>45195</v>
      </c>
      <c r="C684" s="1" t="n">
        <v>45821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45821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45821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45821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45821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45821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45821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45821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45821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45821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45821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45821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45821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45821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45821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45821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45821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45821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45821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45821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45821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45821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45821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45821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45821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45821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45821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45821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45821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45821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45821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45821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45821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45821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45821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45821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45821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45821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45821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45821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45821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45821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45821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45821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45821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45821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45821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45821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45821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45821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45821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45821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45821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45821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45821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45821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45821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45821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45821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45821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45821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45821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45821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45821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45821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45821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45821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45821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45821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45821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45821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45821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45821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45821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45821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45821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45821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45821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45821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45821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45821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45821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45821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45821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45821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45821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45821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45821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45821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45821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45821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45821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45821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45821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45821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45821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45821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45821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45821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45821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45821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45821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45821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45821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45821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45821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45821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45821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45821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45821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45821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45821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45821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45821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45821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45821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45821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45821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45821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45821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45821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45821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45821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45821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45821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45821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45821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45821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45821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45821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45821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45821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45821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45821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45821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45821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45821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45821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45821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45821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45821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45821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45821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45821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45821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45821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45821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45821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45821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45821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45821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45821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45821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45821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45821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45821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45821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45821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45821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45821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45821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45821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45821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45821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45821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45821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45821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45821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45821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45821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45821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45821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45821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45821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45821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45821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45821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45821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45821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45821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45821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45821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45821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45821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45821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45821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45821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45821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45821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45821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45821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45821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45821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45821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45821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45821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45821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45821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45821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45821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45821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45821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45821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45821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45821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45821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45821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45821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45821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45821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45821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45821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45821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45821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45821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45821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45821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45821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45821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45821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45821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45821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45821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45821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45821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45821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45821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45821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45821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45821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45821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45821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45821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45821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45821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45821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45821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45821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45821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45821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45821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45821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45821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45821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45821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45821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45821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45821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45821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45821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45821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45821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45821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45821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45821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45821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45821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45821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45821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45821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45821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45821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45821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45821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45821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45821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45821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45821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45821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45821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45821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45821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45821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45821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45821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45821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45821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45821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45821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45821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45821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45821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45821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45821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45821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45821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45821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45821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45821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45821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45821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45821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45821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45821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45821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45821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45821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45821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45821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45821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45821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45821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45821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45821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45821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45821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45821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45821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45821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45821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45821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45821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45821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45821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45821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45821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45821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45821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45821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45821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45821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45821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45821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45821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45821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45821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45821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45821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45821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45821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45821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45821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45821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45821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45821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45821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45821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45821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45821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45821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45821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45821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45821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45821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45821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45821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45821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45821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45821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45821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45821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45821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45821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45821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45821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45821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45821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45821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45821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45821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45821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45821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45821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45821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45821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45821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45821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45821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45821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45821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45821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45821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45821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45821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45821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45821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45821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45821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45821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45821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45821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45821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45821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45821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45821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45821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45821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45821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45821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45821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45821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45821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45821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45821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45821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45821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45821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45821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45821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45821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45821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45821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45821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45821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45821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45821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45821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45821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45821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45821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45821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45821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45821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45821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45821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45821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45821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45821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45821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45821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45821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45821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45821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45821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45821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45821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45821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45821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45821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45821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45821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45821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45821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45821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45821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45821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45821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45821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45821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45821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45821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45821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45821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45821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45821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45821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45821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45821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45821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45821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45821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45821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45821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45821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45821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45821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45821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45821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45821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45821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45821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45821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45821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45821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45821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45821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45821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45821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45821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45821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45821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45821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45821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45821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45821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45821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45821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45821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45821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45821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45821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45821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45821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45821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45821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45821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45821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45821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45821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45821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45821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45821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45821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45821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45821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45821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45821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45821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45821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45821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45821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45821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45821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23378-2025</t>
        </is>
      </c>
      <c r="B1187" s="1" t="n">
        <v>45791</v>
      </c>
      <c r="C1187" s="1" t="n">
        <v>45821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23381-2025</t>
        </is>
      </c>
      <c r="B1188" s="1" t="n">
        <v>45791</v>
      </c>
      <c r="C1188" s="1" t="n">
        <v>45821</v>
      </c>
      <c r="D1188" t="inlineStr">
        <is>
          <t>JÖNKÖPINGS LÄN</t>
        </is>
      </c>
      <c r="E1188" t="inlineStr">
        <is>
          <t>NÄSSJÖ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45821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45821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45821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45821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45821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45821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45821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45821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45821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45821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45821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45821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45821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25122-2025</t>
        </is>
      </c>
      <c r="B1202" s="1" t="n">
        <v>45800</v>
      </c>
      <c r="C1202" s="1" t="n">
        <v>45821</v>
      </c>
      <c r="D1202" t="inlineStr">
        <is>
          <t>JÖNKÖPINGS LÄN</t>
        </is>
      </c>
      <c r="E1202" t="inlineStr">
        <is>
          <t>NÄSSJÖ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25418-2025</t>
        </is>
      </c>
      <c r="B1203" s="1" t="n">
        <v>45800</v>
      </c>
      <c r="C1203" s="1" t="n">
        <v>45821</v>
      </c>
      <c r="D1203" t="inlineStr">
        <is>
          <t>JÖNKÖPINGS LÄN</t>
        </is>
      </c>
      <c r="E1203" t="inlineStr">
        <is>
          <t>NÄSSJÖ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45821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45821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45821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45821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26278-2025</t>
        </is>
      </c>
      <c r="B1208" s="1" t="n">
        <v>45805</v>
      </c>
      <c r="C1208" s="1" t="n">
        <v>45821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28277-2025</t>
        </is>
      </c>
      <c r="B1209" s="1" t="n">
        <v>45818</v>
      </c>
      <c r="C1209" s="1" t="n">
        <v>45821</v>
      </c>
      <c r="D1209" t="inlineStr">
        <is>
          <t>JÖNKÖPINGS LÄN</t>
        </is>
      </c>
      <c r="E1209" t="inlineStr">
        <is>
          <t>NÄSSJÖ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28271-2025</t>
        </is>
      </c>
      <c r="B1210" s="1" t="n">
        <v>45818</v>
      </c>
      <c r="C1210" s="1" t="n">
        <v>45821</v>
      </c>
      <c r="D1210" t="inlineStr">
        <is>
          <t>JÖNKÖPINGS LÄN</t>
        </is>
      </c>
      <c r="E1210" t="inlineStr">
        <is>
          <t>NÄSSJÖ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>
      <c r="A1211" t="inlineStr">
        <is>
          <t>A 28279-2025</t>
        </is>
      </c>
      <c r="B1211" s="1" t="n">
        <v>45818</v>
      </c>
      <c r="C1211" s="1" t="n">
        <v>45821</v>
      </c>
      <c r="D1211" t="inlineStr">
        <is>
          <t>JÖNKÖPINGS LÄN</t>
        </is>
      </c>
      <c r="E1211" t="inlineStr">
        <is>
          <t>NÄSSJÖ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2025-06-13T18:30:32Z</dcterms:created>
  <dcterms:modified xmlns:dcterms="http://purl.org/dc/terms/" xmlns:xsi="http://www.w3.org/2001/XMLSchema-instance" xsi:type="dcterms:W3CDTF">2025-06-13T18:30:33Z</dcterms:modified>
</cp:coreProperties>
</file>